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9b2c91958b1a1/Desktop/Work/YMCA/PS-User-Processing/"/>
    </mc:Choice>
  </mc:AlternateContent>
  <xr:revisionPtr revIDLastSave="56" documentId="8_{9737DE6A-6095-4247-B6D6-2D9AAFF49951}" xr6:coauthVersionLast="47" xr6:coauthVersionMax="47" xr10:uidLastSave="{4F9CD56A-39B6-42A4-B3B4-13C245D69E80}"/>
  <bookViews>
    <workbookView xWindow="-90" yWindow="0" windowWidth="12660" windowHeight="16010" tabRatio="322" xr2:uid="{94F392D2-FC39-483A-8B81-B8814EA6C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D34" i="1"/>
  <c r="L34" i="1"/>
  <c r="D61" i="1"/>
  <c r="L61" i="1"/>
  <c r="D60" i="1"/>
  <c r="L60" i="1"/>
  <c r="L54" i="1"/>
  <c r="L36" i="1"/>
  <c r="D10" i="1"/>
  <c r="D7" i="1"/>
  <c r="D8" i="1"/>
  <c r="D9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/>
  <c r="D36" i="1"/>
  <c r="D40" i="1"/>
  <c r="D41" i="1"/>
  <c r="D42" i="1"/>
  <c r="D43" i="1"/>
  <c r="D44" i="1"/>
  <c r="D46" i="1"/>
  <c r="D47" i="1"/>
  <c r="D48" i="1"/>
  <c r="D50" i="1"/>
  <c r="D51" i="1"/>
  <c r="D52" i="1"/>
  <c r="D53" i="1"/>
  <c r="D54" i="1"/>
  <c r="D55" i="1"/>
  <c r="D56" i="1"/>
  <c r="D57" i="1"/>
  <c r="D58" i="1"/>
  <c r="D59" i="1"/>
  <c r="D62" i="1"/>
  <c r="D63" i="1"/>
  <c r="D65" i="1"/>
  <c r="D67" i="1"/>
  <c r="D68" i="1"/>
  <c r="D69" i="1"/>
  <c r="D70" i="1"/>
  <c r="D71" i="1"/>
  <c r="D72" i="1"/>
  <c r="D73" i="1"/>
  <c r="D74" i="1"/>
  <c r="D75" i="1"/>
  <c r="D76" i="1"/>
  <c r="D77" i="1"/>
  <c r="D80" i="1"/>
  <c r="D83" i="1"/>
  <c r="D87" i="1"/>
  <c r="D89" i="1"/>
  <c r="D90" i="1"/>
  <c r="D91" i="1"/>
  <c r="D92" i="1"/>
  <c r="D94" i="1"/>
  <c r="D95" i="1"/>
  <c r="D97" i="1"/>
  <c r="D98" i="1"/>
  <c r="D99" i="1"/>
  <c r="D100" i="1"/>
  <c r="D101" i="1"/>
  <c r="D102" i="1"/>
  <c r="D103" i="1"/>
  <c r="D104" i="1"/>
  <c r="D105" i="1"/>
  <c r="D6" i="1"/>
  <c r="D5" i="1"/>
  <c r="D4" i="1"/>
  <c r="D3" i="1"/>
  <c r="D2" i="1"/>
  <c r="L101" i="1"/>
  <c r="L102" i="1"/>
  <c r="L103" i="1"/>
  <c r="L104" i="1"/>
  <c r="L105" i="1"/>
  <c r="L93" i="1"/>
  <c r="L94" i="1"/>
  <c r="L95" i="1"/>
  <c r="L96" i="1"/>
  <c r="L97" i="1"/>
  <c r="L98" i="1"/>
  <c r="L99" i="1"/>
  <c r="L100" i="1"/>
  <c r="L86" i="1"/>
  <c r="L87" i="1"/>
  <c r="L88" i="1"/>
  <c r="L89" i="1"/>
  <c r="L90" i="1"/>
  <c r="L91" i="1"/>
  <c r="L92" i="1"/>
  <c r="L85" i="1"/>
  <c r="L73" i="1"/>
  <c r="L83" i="1"/>
  <c r="L78" i="1"/>
  <c r="L79" i="1"/>
  <c r="L80" i="1"/>
  <c r="L81" i="1"/>
  <c r="L82" i="1"/>
  <c r="L67" i="1"/>
  <c r="L68" i="1"/>
  <c r="L69" i="1"/>
  <c r="L70" i="1"/>
  <c r="L71" i="1"/>
  <c r="L72" i="1"/>
  <c r="L74" i="1"/>
  <c r="L75" i="1"/>
  <c r="L76" i="1"/>
  <c r="L77" i="1"/>
  <c r="L58" i="1"/>
  <c r="L59" i="1"/>
  <c r="L62" i="1"/>
  <c r="L63" i="1"/>
  <c r="L64" i="1"/>
  <c r="L65" i="1"/>
  <c r="L45" i="1"/>
  <c r="L46" i="1"/>
  <c r="L48" i="1"/>
  <c r="L49" i="1"/>
  <c r="L50" i="1"/>
  <c r="L51" i="1"/>
  <c r="L53" i="1"/>
  <c r="L55" i="1"/>
  <c r="L56" i="1"/>
  <c r="L57" i="1"/>
  <c r="L30" i="1"/>
  <c r="L31" i="1"/>
  <c r="L32" i="1"/>
  <c r="L33" i="1"/>
  <c r="L35" i="1"/>
  <c r="L37" i="1"/>
  <c r="L38" i="1"/>
  <c r="L39" i="1"/>
  <c r="L40" i="1"/>
  <c r="L41" i="1"/>
  <c r="L42" i="1"/>
  <c r="L43" i="1"/>
  <c r="L44" i="1"/>
  <c r="L3" i="1"/>
  <c r="L4" i="1"/>
  <c r="L5" i="1"/>
  <c r="L6" i="1"/>
  <c r="L7" i="1"/>
  <c r="L8" i="1"/>
  <c r="L9" i="1"/>
  <c r="L10" i="1"/>
  <c r="L12" i="1"/>
  <c r="L13" i="1"/>
  <c r="L14" i="1"/>
  <c r="L15" i="1"/>
  <c r="L16" i="1"/>
  <c r="L17" i="1"/>
  <c r="L18" i="1"/>
  <c r="L19" i="1"/>
  <c r="L21" i="1"/>
  <c r="L22" i="1"/>
  <c r="L23" i="1"/>
  <c r="L24" i="1"/>
  <c r="L25" i="1"/>
  <c r="L26" i="1"/>
  <c r="L27" i="1"/>
  <c r="L28" i="1"/>
  <c r="L29" i="1"/>
  <c r="L2" i="1"/>
</calcChain>
</file>

<file path=xl/sharedStrings.xml><?xml version="1.0" encoding="utf-8"?>
<sst xmlns="http://schemas.openxmlformats.org/spreadsheetml/2006/main" count="1179" uniqueCount="373">
  <si>
    <t>DEPARTMENT</t>
  </si>
  <si>
    <t>COMPANY</t>
  </si>
  <si>
    <t>Doreen</t>
  </si>
  <si>
    <t>Barnes</t>
  </si>
  <si>
    <t>MFB</t>
  </si>
  <si>
    <t>H &amp; W Instructor</t>
  </si>
  <si>
    <t>OFFICE</t>
  </si>
  <si>
    <t>DESCRIPTION</t>
  </si>
  <si>
    <t>grymca.org/New OU Structure/Mary Free Bed Y/106 - Health &amp; Wellness</t>
  </si>
  <si>
    <t>H&amp;W</t>
  </si>
  <si>
    <t>Amanda</t>
  </si>
  <si>
    <t>Blackburn</t>
  </si>
  <si>
    <t>Kari</t>
  </si>
  <si>
    <t>Bliss</t>
  </si>
  <si>
    <t>Debbie</t>
  </si>
  <si>
    <t>Buchan</t>
  </si>
  <si>
    <t>Steve</t>
  </si>
  <si>
    <t>Canum</t>
  </si>
  <si>
    <t>Erin</t>
  </si>
  <si>
    <t>Conley</t>
  </si>
  <si>
    <t>Katy</t>
  </si>
  <si>
    <t>Conran</t>
  </si>
  <si>
    <t>Crompton</t>
  </si>
  <si>
    <t>Angela</t>
  </si>
  <si>
    <t>Eldersveld</t>
  </si>
  <si>
    <t>Lisa</t>
  </si>
  <si>
    <t>Faber</t>
  </si>
  <si>
    <t>Michaela</t>
  </si>
  <si>
    <t>Fotis</t>
  </si>
  <si>
    <t>Melissa</t>
  </si>
  <si>
    <t>Fowler</t>
  </si>
  <si>
    <t>Emma</t>
  </si>
  <si>
    <t>Gardner</t>
  </si>
  <si>
    <t>Marissa</t>
  </si>
  <si>
    <t>Hofmann</t>
  </si>
  <si>
    <t>Casandra</t>
  </si>
  <si>
    <t>Sara</t>
  </si>
  <si>
    <t>Ingraham</t>
  </si>
  <si>
    <t>Kinney</t>
  </si>
  <si>
    <t>Debra</t>
  </si>
  <si>
    <t>Lacks</t>
  </si>
  <si>
    <t>Marino</t>
  </si>
  <si>
    <t>Joan</t>
  </si>
  <si>
    <t>McAllister</t>
  </si>
  <si>
    <t>Theresa</t>
  </si>
  <si>
    <t>McClung</t>
  </si>
  <si>
    <t>Michelle</t>
  </si>
  <si>
    <t>McDonald</t>
  </si>
  <si>
    <t>Taylor</t>
  </si>
  <si>
    <t>Mcdonough</t>
  </si>
  <si>
    <t>Kristin</t>
  </si>
  <si>
    <t>Miller</t>
  </si>
  <si>
    <t>Alexandra</t>
  </si>
  <si>
    <t>Miron</t>
  </si>
  <si>
    <t>Barry</t>
  </si>
  <si>
    <t>Missman</t>
  </si>
  <si>
    <t>Kati</t>
  </si>
  <si>
    <t>Moore</t>
  </si>
  <si>
    <t>John</t>
  </si>
  <si>
    <t>Odroski</t>
  </si>
  <si>
    <t>Lori</t>
  </si>
  <si>
    <t>Olsen</t>
  </si>
  <si>
    <t>Dani</t>
  </si>
  <si>
    <t>Pagel</t>
  </si>
  <si>
    <t>Erich</t>
  </si>
  <si>
    <t>Wilson</t>
  </si>
  <si>
    <t>Susan</t>
  </si>
  <si>
    <t>Sayfie</t>
  </si>
  <si>
    <t>Narisa</t>
  </si>
  <si>
    <t>Silliven</t>
  </si>
  <si>
    <t>Caroline</t>
  </si>
  <si>
    <t>Macauley</t>
  </si>
  <si>
    <t>Wieland-Horning</t>
  </si>
  <si>
    <t>Knoth</t>
  </si>
  <si>
    <t>Ethan</t>
  </si>
  <si>
    <t>DDH</t>
  </si>
  <si>
    <t>Maria Moss</t>
  </si>
  <si>
    <t>Jacob DeLosh</t>
  </si>
  <si>
    <t>H &amp; W Specialist</t>
  </si>
  <si>
    <t>grymca.org/New OU Structure/David D Hunting Y/106 - Health &amp; Wellness</t>
  </si>
  <si>
    <t>Head Lifeguard</t>
  </si>
  <si>
    <t>Aquatics</t>
  </si>
  <si>
    <t>Allyssa</t>
  </si>
  <si>
    <t>Longstreet</t>
  </si>
  <si>
    <t>Laura Jones</t>
  </si>
  <si>
    <t>Saum</t>
  </si>
  <si>
    <t>Alexander</t>
  </si>
  <si>
    <t>grymca.org/New OU Structure/Mary Free Bed Y/110 - Aquatics</t>
  </si>
  <si>
    <t>Copeland</t>
  </si>
  <si>
    <t>LHY</t>
  </si>
  <si>
    <t>grymca.org/New OU Structure/Lowell Y/106 - Health &amp; Wellness</t>
  </si>
  <si>
    <t>Group Fitness Instructor</t>
  </si>
  <si>
    <t>Lisa Lea</t>
  </si>
  <si>
    <t>Rachel</t>
  </si>
  <si>
    <t>Madsen</t>
  </si>
  <si>
    <t>Dawn</t>
  </si>
  <si>
    <t>Price-Landis</t>
  </si>
  <si>
    <t>Wendy</t>
  </si>
  <si>
    <t>Rennaker</t>
  </si>
  <si>
    <t>Georgia</t>
  </si>
  <si>
    <t>Schmitz</t>
  </si>
  <si>
    <t>Mike</t>
  </si>
  <si>
    <t>Arnswald</t>
  </si>
  <si>
    <t>WWW</t>
  </si>
  <si>
    <t>grymca.org/New OU Structure/Wolverine Worldwide Family Y/106 - Health &amp; Wellness</t>
  </si>
  <si>
    <t>Barwin</t>
  </si>
  <si>
    <t>Dominiak</t>
  </si>
  <si>
    <t>Christine</t>
  </si>
  <si>
    <t>Laura</t>
  </si>
  <si>
    <t>Guerra</t>
  </si>
  <si>
    <t>Heather</t>
  </si>
  <si>
    <t>Emery</t>
  </si>
  <si>
    <t>Korf</t>
  </si>
  <si>
    <t>Kelley</t>
  </si>
  <si>
    <t>Angie</t>
  </si>
  <si>
    <t>Jackson</t>
  </si>
  <si>
    <t>Kelly</t>
  </si>
  <si>
    <t>Christophel</t>
  </si>
  <si>
    <t>Leesa</t>
  </si>
  <si>
    <t>Stephanie</t>
  </si>
  <si>
    <t>Koster</t>
  </si>
  <si>
    <t>Jennifer</t>
  </si>
  <si>
    <t>Hudson</t>
  </si>
  <si>
    <t>Sarah</t>
  </si>
  <si>
    <t>Dunning</t>
  </si>
  <si>
    <t>Tiffany</t>
  </si>
  <si>
    <t>Sanders</t>
  </si>
  <si>
    <t>Monica</t>
  </si>
  <si>
    <t>Chester</t>
  </si>
  <si>
    <t>Cindi</t>
  </si>
  <si>
    <t>Whitford</t>
  </si>
  <si>
    <t>Lindsey Maki</t>
  </si>
  <si>
    <t>SNY</t>
  </si>
  <si>
    <t>grymca.org/New OU Structure/SpartanNash Y/106 - Health &amp; Wellness</t>
  </si>
  <si>
    <t>Catone</t>
  </si>
  <si>
    <t>Alison</t>
  </si>
  <si>
    <t>McClellan</t>
  </si>
  <si>
    <t>Amy</t>
  </si>
  <si>
    <t>Workman</t>
  </si>
  <si>
    <t>Chris Edwards</t>
  </si>
  <si>
    <t>Schutte</t>
  </si>
  <si>
    <t>Bridgette</t>
  </si>
  <si>
    <t>Smith</t>
  </si>
  <si>
    <t>Foust</t>
  </si>
  <si>
    <t>Farrah</t>
  </si>
  <si>
    <t>Jager</t>
  </si>
  <si>
    <t>Heemstra</t>
  </si>
  <si>
    <t>Kathleen</t>
  </si>
  <si>
    <t>Garcia</t>
  </si>
  <si>
    <t>Lauren</t>
  </si>
  <si>
    <t>Rummells</t>
  </si>
  <si>
    <t>Scripps</t>
  </si>
  <si>
    <t>Lindy</t>
  </si>
  <si>
    <t>Lugbill</t>
  </si>
  <si>
    <t>Malinda</t>
  </si>
  <si>
    <t>Molly</t>
  </si>
  <si>
    <t>Natalie</t>
  </si>
  <si>
    <t>Themins-Maj</t>
  </si>
  <si>
    <t>Kuyper</t>
  </si>
  <si>
    <t>Rochelle</t>
  </si>
  <si>
    <t>Boersma</t>
  </si>
  <si>
    <t>Stavrou</t>
  </si>
  <si>
    <t>Shepherd</t>
  </si>
  <si>
    <t>Frejeris</t>
  </si>
  <si>
    <t>Postema</t>
  </si>
  <si>
    <t>Carlton</t>
  </si>
  <si>
    <t>Shannon</t>
  </si>
  <si>
    <t>Fuller</t>
  </si>
  <si>
    <t>Thammala</t>
  </si>
  <si>
    <t>CAL</t>
  </si>
  <si>
    <t>grymca.org/New OU Structure/Caledonia/106 - Health &amp; Wellness</t>
  </si>
  <si>
    <t>Tammy Allan</t>
  </si>
  <si>
    <t>VIS</t>
  </si>
  <si>
    <t>grymca.org/New OU Structure/Visser Family Y/106 - Health &amp; Wellness</t>
  </si>
  <si>
    <t>Benson</t>
  </si>
  <si>
    <t>H&amp;W Instructor</t>
  </si>
  <si>
    <t>Sherry</t>
  </si>
  <si>
    <t>Fik</t>
  </si>
  <si>
    <t>Gortsema</t>
  </si>
  <si>
    <t>Elizabeth</t>
  </si>
  <si>
    <t>Hager</t>
  </si>
  <si>
    <t>Jennifer Patterson</t>
  </si>
  <si>
    <t>Karsten</t>
  </si>
  <si>
    <t>Danielle</t>
  </si>
  <si>
    <t>Kfoury</t>
  </si>
  <si>
    <t>Carrie</t>
  </si>
  <si>
    <t>Kraker</t>
  </si>
  <si>
    <t>Otto</t>
  </si>
  <si>
    <t>Marie</t>
  </si>
  <si>
    <t>Rickard</t>
  </si>
  <si>
    <t>Simmons</t>
  </si>
  <si>
    <t>Steketee</t>
  </si>
  <si>
    <t>Chandler</t>
  </si>
  <si>
    <t>Gizzi-Farrell</t>
  </si>
  <si>
    <t>Jessica</t>
  </si>
  <si>
    <t>Gladden</t>
  </si>
  <si>
    <t>Peggy</t>
  </si>
  <si>
    <t>Haberman</t>
  </si>
  <si>
    <t>Kathie</t>
  </si>
  <si>
    <t>Heberly</t>
  </si>
  <si>
    <t>Derek</t>
  </si>
  <si>
    <t>Schaaf</t>
  </si>
  <si>
    <t>Racee</t>
  </si>
  <si>
    <t>Warner</t>
  </si>
  <si>
    <t>Nancy</t>
  </si>
  <si>
    <t>Wax</t>
  </si>
  <si>
    <t>Lily</t>
  </si>
  <si>
    <t>MANAGERNAME</t>
  </si>
  <si>
    <t>TEMPLATEUSER</t>
  </si>
  <si>
    <t>dhunsberger@grymca.org</t>
  </si>
  <si>
    <t>eclauson@grymca.org</t>
  </si>
  <si>
    <t>ahebert@grymca.org</t>
  </si>
  <si>
    <t>jparent@grymca.org</t>
  </si>
  <si>
    <t>JOBTITLE</t>
  </si>
  <si>
    <t>slecuru@grymca.org</t>
  </si>
  <si>
    <t>chorrell@grymca.org</t>
  </si>
  <si>
    <t>dchamberlin@grymca.org</t>
  </si>
  <si>
    <t>ajohnson@grymca.org</t>
  </si>
  <si>
    <t>Ally Longstreet</t>
  </si>
  <si>
    <t>Alex Saum</t>
  </si>
  <si>
    <t>Alli Copeland</t>
  </si>
  <si>
    <t>Allissa</t>
  </si>
  <si>
    <t>Jessie Barwin</t>
  </si>
  <si>
    <t>AmyJo</t>
  </si>
  <si>
    <t>AJ Emery</t>
  </si>
  <si>
    <t>Rebecca</t>
  </si>
  <si>
    <t>Becca Workman</t>
  </si>
  <si>
    <t>Darcel</t>
  </si>
  <si>
    <t>Darcie Smith</t>
  </si>
  <si>
    <t>Timothy</t>
  </si>
  <si>
    <t>Tim Boersma</t>
  </si>
  <si>
    <t>Athanasios</t>
  </si>
  <si>
    <t>Tom Stavrou</t>
  </si>
  <si>
    <t>Kimberly</t>
  </si>
  <si>
    <t>Kim Frejeris</t>
  </si>
  <si>
    <t>Kim Postema</t>
  </si>
  <si>
    <t>Tham Fuller</t>
  </si>
  <si>
    <t>Kathryn</t>
  </si>
  <si>
    <t>Kate Benson</t>
  </si>
  <si>
    <t>Cynthia</t>
  </si>
  <si>
    <t>Cyndy DuVal</t>
  </si>
  <si>
    <t>DuVal</t>
  </si>
  <si>
    <t>Steven</t>
  </si>
  <si>
    <t>Steve Gortsema</t>
  </si>
  <si>
    <t>Pamela</t>
  </si>
  <si>
    <t>Pam Otto</t>
  </si>
  <si>
    <t>Jenny Steketee</t>
  </si>
  <si>
    <t>Nichole</t>
  </si>
  <si>
    <t>1AGWCeFMXluy</t>
  </si>
  <si>
    <t>PfTA5dkRnn5U</t>
  </si>
  <si>
    <t>NZ1hSQCX6gP9</t>
  </si>
  <si>
    <t>VVWIpPs3HCwk</t>
  </si>
  <si>
    <t>df8lMuSzKbe9</t>
  </si>
  <si>
    <t>ojUUG7GlGg42</t>
  </si>
  <si>
    <t>WWcMn7C4Y0J7</t>
  </si>
  <si>
    <t>aLT6o3uQfPW1</t>
  </si>
  <si>
    <t>Msnj0W10BlKW</t>
  </si>
  <si>
    <t>iXJUXyy1zbR0</t>
  </si>
  <si>
    <t>TK17SoKkfdT9</t>
  </si>
  <si>
    <t>yuK9oIvM13ks</t>
  </si>
  <si>
    <t>BKz8Er4EbY8X</t>
  </si>
  <si>
    <t>mMaMDf4b8bmF</t>
  </si>
  <si>
    <t>rOpnv70LBX6c</t>
  </si>
  <si>
    <t>P27fZYVfcTxi</t>
  </si>
  <si>
    <t>x07w6jTHjb1N</t>
  </si>
  <si>
    <t>G6wylqX2DNmn</t>
  </si>
  <si>
    <t>3g2OHFcK2gCK</t>
  </si>
  <si>
    <t>mkvT34PJ0vIx</t>
  </si>
  <si>
    <t>Z348pbrEAJhN</t>
  </si>
  <si>
    <t>ktXkCeS46fvG</t>
  </si>
  <si>
    <t>QTyIgGNChKG9</t>
  </si>
  <si>
    <t>aWTOT3lq79l2</t>
  </si>
  <si>
    <t>YMCKxkpsP5ZX</t>
  </si>
  <si>
    <t>fv7P5Jf6H57J</t>
  </si>
  <si>
    <t>e7JxPflVWRH6</t>
  </si>
  <si>
    <t>63ydCLRbO8x2</t>
  </si>
  <si>
    <t>Ukf8Tze9q0WN</t>
  </si>
  <si>
    <t>8s4CYWV8BklV</t>
  </si>
  <si>
    <t>5hiWdOFIuWxZ</t>
  </si>
  <si>
    <t>EI4jgm5KLYUh</t>
  </si>
  <si>
    <t>yeUBlfQ5Gt1T</t>
  </si>
  <si>
    <t>P8fusiRcaHOg</t>
  </si>
  <si>
    <t>yv1RBNjj8Rw1</t>
  </si>
  <si>
    <t>FyGvtmAZqIp4</t>
  </si>
  <si>
    <t>deWDvPu477kv</t>
  </si>
  <si>
    <t>hXiOc6JxQam2</t>
  </si>
  <si>
    <t>F5iRXmP1Asyb</t>
  </si>
  <si>
    <t>nJdl8z8qJoUq</t>
  </si>
  <si>
    <t>2W6fkD7mKSt3</t>
  </si>
  <si>
    <t>Ug4Yj3DMoHdp</t>
  </si>
  <si>
    <t>QNXO3mJp36fQ</t>
  </si>
  <si>
    <t>jyE5uSJ4vyoW</t>
  </si>
  <si>
    <t>lPeIMXzl5NVJ</t>
  </si>
  <si>
    <t>KMsBVk6RGaD3</t>
  </si>
  <si>
    <t>nO3FywmcW63W</t>
  </si>
  <si>
    <t>juQdvMZ7ll01</t>
  </si>
  <si>
    <t>eg64NrWwV5vP</t>
  </si>
  <si>
    <t>8CIrqWGNmg0G</t>
  </si>
  <si>
    <t>Gk1xD4uvn5V9</t>
  </si>
  <si>
    <t>EcXGPTmhmNk9</t>
  </si>
  <si>
    <t>jBWtJ7w6k19l</t>
  </si>
  <si>
    <t>Yidz5HGEpz39</t>
  </si>
  <si>
    <t>OB6p7OSqKvZU</t>
  </si>
  <si>
    <t>PZkZgW3k78Yo</t>
  </si>
  <si>
    <t>FhRfDRHCA12o</t>
  </si>
  <si>
    <t>0WTvhaCG9KDQ</t>
  </si>
  <si>
    <t>Idqg4FJptyDj</t>
  </si>
  <si>
    <t>jH26GIRjPWMq</t>
  </si>
  <si>
    <t>18PHAyQEEviY</t>
  </si>
  <si>
    <t>5mLz41qjFUC7</t>
  </si>
  <si>
    <t>0A3jdNmWmgMu</t>
  </si>
  <si>
    <t>Z7DwpND1DNcE</t>
  </si>
  <si>
    <t>MJQUHL3Nrj3z</t>
  </si>
  <si>
    <t>g5E5STqnGUL4</t>
  </si>
  <si>
    <t>5wvvco90hAw6</t>
  </si>
  <si>
    <t>kKNhI3FZKQog</t>
  </si>
  <si>
    <t>WLAOZkwJx8h8</t>
  </si>
  <si>
    <t>Ksls37K7fYTu</t>
  </si>
  <si>
    <t>YOkEDsy7jrIr</t>
  </si>
  <si>
    <t>U0V2uN8beYqV</t>
  </si>
  <si>
    <t>aJV4ROWMicyw</t>
  </si>
  <si>
    <t>RG9eT8rpAUL0</t>
  </si>
  <si>
    <t>9bpyO1CJ8cTg</t>
  </si>
  <si>
    <t>ZYV8OdJFae38</t>
  </si>
  <si>
    <t>ID5YmQElji5k</t>
  </si>
  <si>
    <t>WiH7D1f6kCLh</t>
  </si>
  <si>
    <t>72CISLPcKR1h</t>
  </si>
  <si>
    <t>Mk6eQnLglDxn</t>
  </si>
  <si>
    <t>ruj3rUI7Oatq</t>
  </si>
  <si>
    <t>r3YCBIB0t1DQ</t>
  </si>
  <si>
    <t>49DEeoRj51xk</t>
  </si>
  <si>
    <t>QXyR3uuFeqZl</t>
  </si>
  <si>
    <t>HFoyUAyH5xkX</t>
  </si>
  <si>
    <t>S07pwQkqMC9w</t>
  </si>
  <si>
    <t>NUeTyV17nvxO</t>
  </si>
  <si>
    <t>JoYTqsxK3jpK</t>
  </si>
  <si>
    <t>pQoOz7bC4d5b</t>
  </si>
  <si>
    <t>K1fR96IRzzis</t>
  </si>
  <si>
    <t>H7cTEyVSQgqM</t>
  </si>
  <si>
    <t>Y0e9Y9gYtDpO</t>
  </si>
  <si>
    <t>ZAQrUzH2bk4H</t>
  </si>
  <si>
    <t>rUo8EFn59Jgx</t>
  </si>
  <si>
    <t>svP2Btk3uaPA</t>
  </si>
  <si>
    <t>dxXd4Xmz9Q15</t>
  </si>
  <si>
    <t>lJG3n1BClnjq</t>
  </si>
  <si>
    <t>lHSHERvIcja1</t>
  </si>
  <si>
    <t>8bOzFymqTlP2</t>
  </si>
  <si>
    <t>Kli7AKMWPbnu</t>
  </si>
  <si>
    <t>m.faber@grymca.org</t>
  </si>
  <si>
    <t>Jena Lacks</t>
  </si>
  <si>
    <t>t.mcallister@grymca.org</t>
  </si>
  <si>
    <t>xNt2gpv6J0fJt</t>
  </si>
  <si>
    <t>lcleypool@grymca.org</t>
  </si>
  <si>
    <t>Cleypool</t>
  </si>
  <si>
    <t>k.jackson@grymca.org</t>
  </si>
  <si>
    <t>Sousa</t>
  </si>
  <si>
    <t>dasmith@grymca.org</t>
  </si>
  <si>
    <t>Hansen</t>
  </si>
  <si>
    <t>2VU6kgWXeSS5</t>
  </si>
  <si>
    <t>cRdF5DRgHtxA</t>
  </si>
  <si>
    <t>Gloria</t>
  </si>
  <si>
    <t>Guilfoyle</t>
  </si>
  <si>
    <t>t.fuller@grymca.org</t>
  </si>
  <si>
    <t>Patrick</t>
  </si>
  <si>
    <t>Stout</t>
  </si>
  <si>
    <t>FqUsa49p54KX</t>
  </si>
  <si>
    <t>UserAlias</t>
  </si>
  <si>
    <t>DisplayName</t>
  </si>
  <si>
    <t>FirstName</t>
  </si>
  <si>
    <t>LastName</t>
  </si>
  <si>
    <t>OU</t>
  </si>
  <si>
    <t>UPN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</si>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</sst>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cleypool@grymca.org" TargetMode="External"/><Relationship Id="rId2" Type="http://schemas.openxmlformats.org/officeDocument/2006/relationships/hyperlink" Target="mailto:t.mcallister@grymca.org" TargetMode="External"/><Relationship Id="rId1" Type="http://schemas.openxmlformats.org/officeDocument/2006/relationships/hyperlink" Target="mailto:m.faber@grymca.org" TargetMode="External"/><Relationship Id="rId6" Type="http://schemas.openxmlformats.org/officeDocument/2006/relationships/hyperlink" Target="mailto:t.fuller@grymca.org" TargetMode="External"/><Relationship Id="rId5" Type="http://schemas.openxmlformats.org/officeDocument/2006/relationships/hyperlink" Target="mailto:dasmith@grymca.org" TargetMode="External"/><Relationship Id="rId4" Type="http://schemas.openxmlformats.org/officeDocument/2006/relationships/hyperlink" Target="mailto:k.jackson@grymc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B558-813D-43AF-9A5E-939EBF8D501D}">
  <dimension ref="A1:N105"/>
  <sheetViews>
    <sheetView tabSelected="1" topLeftCell="H1" workbookViewId="0">
      <pane ySplit="1" topLeftCell="A2" activePane="bottomLeft" state="frozen"/>
      <selection pane="bottomLeft" activeCell="N1" sqref="N1"/>
    </sheetView>
  </sheetViews>
  <sheetFormatPr defaultRowHeight="14.5" x14ac:dyDescent="0.35"/>
  <cols>
    <col min="1" max="1" width="10" customWidth="1"/>
    <col min="2" max="2" width="17.81640625" customWidth="1"/>
    <col min="3" max="3" width="10.54296875" bestFit="1" customWidth="1"/>
    <col min="4" max="4" width="23.81640625" customWidth="1"/>
    <col min="5" max="5" width="14.90625" customWidth="1"/>
    <col min="6" max="6" width="11.90625" customWidth="1"/>
    <col min="7" max="7" width="7.81640625" customWidth="1"/>
    <col min="8" max="8" width="22.54296875" bestFit="1" customWidth="1"/>
    <col min="9" max="9" width="22.54296875" hidden="1" customWidth="1"/>
    <col min="10" max="10" width="16.81640625" customWidth="1"/>
    <col min="11" max="11" width="13" customWidth="1"/>
    <col min="12" max="12" width="23.7265625" customWidth="1"/>
    <col min="13" max="13" width="24.26953125" bestFit="1" customWidth="1"/>
    <col min="14" max="14" width="16.26953125" bestFit="1" customWidth="1"/>
  </cols>
  <sheetData>
    <row r="1" spans="1:14" x14ac:dyDescent="0.35">
      <c r="A1" s="2" t="s">
        <v>1</v>
      </c>
      <c r="B1" s="2" t="s">
        <v>370</v>
      </c>
      <c r="C1" s="2" t="s">
        <v>368</v>
      </c>
      <c r="D1" s="2" t="s">
        <v>367</v>
      </c>
      <c r="E1" s="2" t="s">
        <v>369</v>
      </c>
      <c r="F1" s="2" t="s">
        <v>0</v>
      </c>
      <c r="G1" s="2" t="s">
        <v>6</v>
      </c>
      <c r="H1" s="2" t="s">
        <v>213</v>
      </c>
      <c r="I1" s="2" t="s">
        <v>7</v>
      </c>
      <c r="J1" s="2" t="s">
        <v>207</v>
      </c>
      <c r="K1" s="2" t="s">
        <v>366</v>
      </c>
      <c r="L1" s="2" t="s">
        <v>371</v>
      </c>
      <c r="M1" s="2" t="s">
        <v>208</v>
      </c>
      <c r="N1" s="2" t="s">
        <v>372</v>
      </c>
    </row>
    <row r="2" spans="1:14" x14ac:dyDescent="0.35">
      <c r="A2" t="s">
        <v>4</v>
      </c>
      <c r="B2" t="s">
        <v>8</v>
      </c>
      <c r="C2" t="s">
        <v>2</v>
      </c>
      <c r="D2" t="str">
        <f>C2&amp;" "&amp;E2</f>
        <v>Doreen Barnes</v>
      </c>
      <c r="E2" t="s">
        <v>3</v>
      </c>
      <c r="F2" t="s">
        <v>9</v>
      </c>
      <c r="G2" t="s">
        <v>4</v>
      </c>
      <c r="H2" t="s">
        <v>5</v>
      </c>
      <c r="I2" t="s">
        <v>5</v>
      </c>
      <c r="J2" t="s">
        <v>77</v>
      </c>
      <c r="K2" t="str">
        <f>LOWER(LEFT(TRIM(C2),1)&amp;TRIM(E2))</f>
        <v>dbarnes</v>
      </c>
      <c r="L2" t="str">
        <f t="shared" ref="L2:L34" si="0">LOWER(LEFT(TRIM(C2),1)&amp;TRIM(E2)&amp;"@grymca.org")</f>
        <v>dbarnes@grymca.org</v>
      </c>
      <c r="M2" s="3" t="s">
        <v>209</v>
      </c>
      <c r="N2" t="s">
        <v>248</v>
      </c>
    </row>
    <row r="3" spans="1:14" x14ac:dyDescent="0.35">
      <c r="A3" t="s">
        <v>4</v>
      </c>
      <c r="B3" t="s">
        <v>8</v>
      </c>
      <c r="C3" t="s">
        <v>10</v>
      </c>
      <c r="D3" t="str">
        <f>C3&amp;" "&amp;E3</f>
        <v>Amanda Blackburn</v>
      </c>
      <c r="E3" t="s">
        <v>11</v>
      </c>
      <c r="F3" t="s">
        <v>9</v>
      </c>
      <c r="G3" t="s">
        <v>4</v>
      </c>
      <c r="H3" t="s">
        <v>5</v>
      </c>
      <c r="I3" t="s">
        <v>5</v>
      </c>
      <c r="J3" t="s">
        <v>77</v>
      </c>
      <c r="K3" t="str">
        <f t="shared" ref="K3:K66" si="1">LOWER(LEFT(TRIM(C3),1)&amp;TRIM(E3))</f>
        <v>ablackburn</v>
      </c>
      <c r="L3" t="str">
        <f t="shared" si="0"/>
        <v>ablackburn@grymca.org</v>
      </c>
      <c r="M3" s="3" t="s">
        <v>209</v>
      </c>
      <c r="N3" t="s">
        <v>249</v>
      </c>
    </row>
    <row r="4" spans="1:14" x14ac:dyDescent="0.35">
      <c r="A4" t="s">
        <v>4</v>
      </c>
      <c r="B4" t="s">
        <v>8</v>
      </c>
      <c r="C4" t="s">
        <v>12</v>
      </c>
      <c r="D4" t="str">
        <f>C4&amp;" "&amp;E4</f>
        <v>Kari Bliss</v>
      </c>
      <c r="E4" t="s">
        <v>13</v>
      </c>
      <c r="F4" t="s">
        <v>9</v>
      </c>
      <c r="G4" t="s">
        <v>4</v>
      </c>
      <c r="H4" t="s">
        <v>5</v>
      </c>
      <c r="I4" t="s">
        <v>5</v>
      </c>
      <c r="J4" t="s">
        <v>77</v>
      </c>
      <c r="K4" t="str">
        <f t="shared" si="1"/>
        <v>kbliss</v>
      </c>
      <c r="L4" t="str">
        <f t="shared" si="0"/>
        <v>kbliss@grymca.org</v>
      </c>
      <c r="M4" s="3" t="s">
        <v>209</v>
      </c>
      <c r="N4" t="s">
        <v>250</v>
      </c>
    </row>
    <row r="5" spans="1:14" x14ac:dyDescent="0.35">
      <c r="A5" t="s">
        <v>4</v>
      </c>
      <c r="B5" t="s">
        <v>8</v>
      </c>
      <c r="C5" t="s">
        <v>14</v>
      </c>
      <c r="D5" t="str">
        <f>C5&amp;" "&amp;E5</f>
        <v>Debbie Buchan</v>
      </c>
      <c r="E5" t="s">
        <v>15</v>
      </c>
      <c r="F5" t="s">
        <v>9</v>
      </c>
      <c r="G5" t="s">
        <v>4</v>
      </c>
      <c r="H5" t="s">
        <v>5</v>
      </c>
      <c r="I5" t="s">
        <v>5</v>
      </c>
      <c r="J5" t="s">
        <v>77</v>
      </c>
      <c r="K5" t="str">
        <f t="shared" si="1"/>
        <v>dbuchan</v>
      </c>
      <c r="L5" t="str">
        <f t="shared" si="0"/>
        <v>dbuchan@grymca.org</v>
      </c>
      <c r="M5" s="3" t="s">
        <v>209</v>
      </c>
      <c r="N5" t="s">
        <v>251</v>
      </c>
    </row>
    <row r="6" spans="1:14" x14ac:dyDescent="0.35">
      <c r="A6" t="s">
        <v>4</v>
      </c>
      <c r="B6" t="s">
        <v>8</v>
      </c>
      <c r="C6" t="s">
        <v>16</v>
      </c>
      <c r="D6" t="str">
        <f>C6&amp;" "&amp;E6</f>
        <v>Steve Canum</v>
      </c>
      <c r="E6" t="s">
        <v>17</v>
      </c>
      <c r="F6" t="s">
        <v>9</v>
      </c>
      <c r="G6" t="s">
        <v>4</v>
      </c>
      <c r="H6" t="s">
        <v>5</v>
      </c>
      <c r="I6" t="s">
        <v>5</v>
      </c>
      <c r="J6" t="s">
        <v>77</v>
      </c>
      <c r="K6" t="str">
        <f t="shared" si="1"/>
        <v>scanum</v>
      </c>
      <c r="L6" t="str">
        <f t="shared" si="0"/>
        <v>scanum@grymca.org</v>
      </c>
      <c r="M6" s="3" t="s">
        <v>209</v>
      </c>
      <c r="N6" t="s">
        <v>252</v>
      </c>
    </row>
    <row r="7" spans="1:14" x14ac:dyDescent="0.35">
      <c r="A7" t="s">
        <v>4</v>
      </c>
      <c r="B7" t="s">
        <v>8</v>
      </c>
      <c r="C7" t="s">
        <v>18</v>
      </c>
      <c r="D7" t="str">
        <f t="shared" ref="D7:D71" si="2">C7&amp;" "&amp;E7</f>
        <v>Erin Conley</v>
      </c>
      <c r="E7" t="s">
        <v>19</v>
      </c>
      <c r="F7" t="s">
        <v>9</v>
      </c>
      <c r="G7" t="s">
        <v>4</v>
      </c>
      <c r="H7" t="s">
        <v>5</v>
      </c>
      <c r="I7" t="s">
        <v>5</v>
      </c>
      <c r="J7" t="s">
        <v>77</v>
      </c>
      <c r="K7" t="str">
        <f t="shared" si="1"/>
        <v>econley</v>
      </c>
      <c r="L7" t="str">
        <f t="shared" si="0"/>
        <v>econley@grymca.org</v>
      </c>
      <c r="M7" s="3" t="s">
        <v>209</v>
      </c>
      <c r="N7" t="s">
        <v>253</v>
      </c>
    </row>
    <row r="8" spans="1:14" x14ac:dyDescent="0.35">
      <c r="A8" t="s">
        <v>4</v>
      </c>
      <c r="B8" t="s">
        <v>8</v>
      </c>
      <c r="C8" t="s">
        <v>20</v>
      </c>
      <c r="D8" t="str">
        <f t="shared" si="2"/>
        <v>Katy Conran</v>
      </c>
      <c r="E8" t="s">
        <v>21</v>
      </c>
      <c r="F8" t="s">
        <v>9</v>
      </c>
      <c r="G8" t="s">
        <v>4</v>
      </c>
      <c r="H8" t="s">
        <v>5</v>
      </c>
      <c r="I8" t="s">
        <v>5</v>
      </c>
      <c r="J8" t="s">
        <v>77</v>
      </c>
      <c r="K8" t="str">
        <f t="shared" si="1"/>
        <v>kconran</v>
      </c>
      <c r="L8" t="str">
        <f t="shared" si="0"/>
        <v>kconran@grymca.org</v>
      </c>
      <c r="M8" s="3" t="s">
        <v>209</v>
      </c>
      <c r="N8" t="s">
        <v>254</v>
      </c>
    </row>
    <row r="9" spans="1:14" x14ac:dyDescent="0.35">
      <c r="A9" t="s">
        <v>4</v>
      </c>
      <c r="B9" t="s">
        <v>8</v>
      </c>
      <c r="C9" t="s">
        <v>23</v>
      </c>
      <c r="D9" t="str">
        <f t="shared" si="2"/>
        <v>Angela Crompton</v>
      </c>
      <c r="E9" t="s">
        <v>22</v>
      </c>
      <c r="F9" t="s">
        <v>9</v>
      </c>
      <c r="G9" t="s">
        <v>4</v>
      </c>
      <c r="H9" t="s">
        <v>5</v>
      </c>
      <c r="I9" t="s">
        <v>5</v>
      </c>
      <c r="J9" t="s">
        <v>77</v>
      </c>
      <c r="K9" t="str">
        <f t="shared" si="1"/>
        <v>acrompton</v>
      </c>
      <c r="L9" t="str">
        <f t="shared" si="0"/>
        <v>acrompton@grymca.org</v>
      </c>
      <c r="M9" s="3" t="s">
        <v>209</v>
      </c>
      <c r="N9" t="s">
        <v>255</v>
      </c>
    </row>
    <row r="10" spans="1:14" x14ac:dyDescent="0.35">
      <c r="A10" t="s">
        <v>4</v>
      </c>
      <c r="B10" t="s">
        <v>8</v>
      </c>
      <c r="C10" t="s">
        <v>25</v>
      </c>
      <c r="D10" t="str">
        <f>C10&amp;" "&amp;E10</f>
        <v>Lisa Eldersveld</v>
      </c>
      <c r="E10" t="s">
        <v>24</v>
      </c>
      <c r="F10" t="s">
        <v>9</v>
      </c>
      <c r="G10" t="s">
        <v>4</v>
      </c>
      <c r="H10" t="s">
        <v>5</v>
      </c>
      <c r="I10" t="s">
        <v>5</v>
      </c>
      <c r="J10" t="s">
        <v>77</v>
      </c>
      <c r="K10" t="str">
        <f t="shared" si="1"/>
        <v>leldersveld</v>
      </c>
      <c r="L10" t="str">
        <f t="shared" si="0"/>
        <v>leldersveld@grymca.org</v>
      </c>
      <c r="M10" s="3" t="s">
        <v>209</v>
      </c>
      <c r="N10" t="s">
        <v>256</v>
      </c>
    </row>
    <row r="11" spans="1:14" ht="18" customHeight="1" x14ac:dyDescent="0.35">
      <c r="A11" t="s">
        <v>4</v>
      </c>
      <c r="B11" t="s">
        <v>8</v>
      </c>
      <c r="C11" t="s">
        <v>27</v>
      </c>
      <c r="D11" t="str">
        <f t="shared" si="2"/>
        <v>Michaela Faber</v>
      </c>
      <c r="E11" t="s">
        <v>26</v>
      </c>
      <c r="F11" t="s">
        <v>9</v>
      </c>
      <c r="G11" t="s">
        <v>4</v>
      </c>
      <c r="H11" t="s">
        <v>5</v>
      </c>
      <c r="I11" t="s">
        <v>5</v>
      </c>
      <c r="J11" t="s">
        <v>77</v>
      </c>
      <c r="K11" t="str">
        <f t="shared" si="1"/>
        <v>mfaber</v>
      </c>
      <c r="L11" s="4" t="s">
        <v>348</v>
      </c>
      <c r="M11" s="3" t="s">
        <v>209</v>
      </c>
      <c r="N11" t="s">
        <v>257</v>
      </c>
    </row>
    <row r="12" spans="1:14" x14ac:dyDescent="0.35">
      <c r="A12" t="s">
        <v>4</v>
      </c>
      <c r="B12" t="s">
        <v>8</v>
      </c>
      <c r="C12" t="s">
        <v>29</v>
      </c>
      <c r="D12" t="str">
        <f t="shared" si="2"/>
        <v>Melissa Fotis</v>
      </c>
      <c r="E12" t="s">
        <v>28</v>
      </c>
      <c r="F12" t="s">
        <v>9</v>
      </c>
      <c r="G12" t="s">
        <v>4</v>
      </c>
      <c r="H12" t="s">
        <v>5</v>
      </c>
      <c r="I12" t="s">
        <v>5</v>
      </c>
      <c r="J12" t="s">
        <v>77</v>
      </c>
      <c r="K12" t="str">
        <f t="shared" si="1"/>
        <v>mfotis</v>
      </c>
      <c r="L12" t="str">
        <f t="shared" si="0"/>
        <v>mfotis@grymca.org</v>
      </c>
      <c r="M12" s="3" t="s">
        <v>209</v>
      </c>
      <c r="N12" t="s">
        <v>258</v>
      </c>
    </row>
    <row r="13" spans="1:14" x14ac:dyDescent="0.35">
      <c r="A13" t="s">
        <v>4</v>
      </c>
      <c r="B13" t="s">
        <v>8</v>
      </c>
      <c r="C13" t="s">
        <v>31</v>
      </c>
      <c r="D13" t="str">
        <f t="shared" si="2"/>
        <v>Emma Fowler</v>
      </c>
      <c r="E13" t="s">
        <v>30</v>
      </c>
      <c r="F13" t="s">
        <v>9</v>
      </c>
      <c r="G13" t="s">
        <v>4</v>
      </c>
      <c r="H13" t="s">
        <v>5</v>
      </c>
      <c r="I13" t="s">
        <v>5</v>
      </c>
      <c r="J13" t="s">
        <v>77</v>
      </c>
      <c r="K13" t="str">
        <f t="shared" si="1"/>
        <v>efowler</v>
      </c>
      <c r="L13" t="str">
        <f t="shared" si="0"/>
        <v>efowler@grymca.org</v>
      </c>
      <c r="M13" s="3" t="s">
        <v>209</v>
      </c>
      <c r="N13" t="s">
        <v>259</v>
      </c>
    </row>
    <row r="14" spans="1:14" x14ac:dyDescent="0.35">
      <c r="A14" t="s">
        <v>4</v>
      </c>
      <c r="B14" t="s">
        <v>8</v>
      </c>
      <c r="C14" t="s">
        <v>33</v>
      </c>
      <c r="D14" t="str">
        <f t="shared" si="2"/>
        <v>Marissa Gardner</v>
      </c>
      <c r="E14" t="s">
        <v>32</v>
      </c>
      <c r="F14" t="s">
        <v>9</v>
      </c>
      <c r="G14" t="s">
        <v>4</v>
      </c>
      <c r="H14" t="s">
        <v>5</v>
      </c>
      <c r="I14" t="s">
        <v>5</v>
      </c>
      <c r="J14" t="s">
        <v>77</v>
      </c>
      <c r="K14" t="str">
        <f t="shared" si="1"/>
        <v>mgardner</v>
      </c>
      <c r="L14" t="str">
        <f t="shared" si="0"/>
        <v>mgardner@grymca.org</v>
      </c>
      <c r="M14" s="3" t="s">
        <v>209</v>
      </c>
      <c r="N14" t="s">
        <v>260</v>
      </c>
    </row>
    <row r="15" spans="1:14" x14ac:dyDescent="0.35">
      <c r="A15" t="s">
        <v>4</v>
      </c>
      <c r="B15" t="s">
        <v>8</v>
      </c>
      <c r="C15" t="s">
        <v>35</v>
      </c>
      <c r="D15" t="str">
        <f t="shared" si="2"/>
        <v>Casandra Hofmann</v>
      </c>
      <c r="E15" t="s">
        <v>34</v>
      </c>
      <c r="F15" t="s">
        <v>9</v>
      </c>
      <c r="G15" t="s">
        <v>4</v>
      </c>
      <c r="H15" t="s">
        <v>5</v>
      </c>
      <c r="I15" t="s">
        <v>5</v>
      </c>
      <c r="J15" t="s">
        <v>77</v>
      </c>
      <c r="K15" t="str">
        <f t="shared" si="1"/>
        <v>chofmann</v>
      </c>
      <c r="L15" t="str">
        <f t="shared" si="0"/>
        <v>chofmann@grymca.org</v>
      </c>
      <c r="M15" s="3" t="s">
        <v>209</v>
      </c>
      <c r="N15" t="s">
        <v>261</v>
      </c>
    </row>
    <row r="16" spans="1:14" x14ac:dyDescent="0.35">
      <c r="A16" t="s">
        <v>4</v>
      </c>
      <c r="B16" t="s">
        <v>8</v>
      </c>
      <c r="C16" t="s">
        <v>36</v>
      </c>
      <c r="D16" t="str">
        <f t="shared" si="2"/>
        <v>Sara Ingraham</v>
      </c>
      <c r="E16" t="s">
        <v>37</v>
      </c>
      <c r="F16" t="s">
        <v>9</v>
      </c>
      <c r="G16" t="s">
        <v>4</v>
      </c>
      <c r="H16" t="s">
        <v>5</v>
      </c>
      <c r="I16" t="s">
        <v>5</v>
      </c>
      <c r="J16" t="s">
        <v>77</v>
      </c>
      <c r="K16" t="str">
        <f t="shared" si="1"/>
        <v>singraham</v>
      </c>
      <c r="L16" t="str">
        <f t="shared" si="0"/>
        <v>singraham@grymca.org</v>
      </c>
      <c r="M16" s="3" t="s">
        <v>209</v>
      </c>
      <c r="N16" t="s">
        <v>262</v>
      </c>
    </row>
    <row r="17" spans="1:14" x14ac:dyDescent="0.35">
      <c r="A17" t="s">
        <v>4</v>
      </c>
      <c r="B17" t="s">
        <v>8</v>
      </c>
      <c r="C17" t="s">
        <v>39</v>
      </c>
      <c r="D17" t="str">
        <f t="shared" si="2"/>
        <v>Debra Kinney</v>
      </c>
      <c r="E17" t="s">
        <v>38</v>
      </c>
      <c r="F17" t="s">
        <v>9</v>
      </c>
      <c r="G17" t="s">
        <v>4</v>
      </c>
      <c r="H17" t="s">
        <v>5</v>
      </c>
      <c r="I17" t="s">
        <v>5</v>
      </c>
      <c r="J17" t="s">
        <v>77</v>
      </c>
      <c r="K17" t="str">
        <f t="shared" si="1"/>
        <v>dkinney</v>
      </c>
      <c r="L17" t="str">
        <f t="shared" si="0"/>
        <v>dkinney@grymca.org</v>
      </c>
      <c r="M17" s="3" t="s">
        <v>209</v>
      </c>
      <c r="N17" t="s">
        <v>263</v>
      </c>
    </row>
    <row r="18" spans="1:14" x14ac:dyDescent="0.35">
      <c r="A18" t="s">
        <v>4</v>
      </c>
      <c r="B18" t="s">
        <v>8</v>
      </c>
      <c r="C18" t="s">
        <v>121</v>
      </c>
      <c r="D18" t="s">
        <v>349</v>
      </c>
      <c r="E18" t="s">
        <v>40</v>
      </c>
      <c r="F18" t="s">
        <v>9</v>
      </c>
      <c r="G18" t="s">
        <v>4</v>
      </c>
      <c r="H18" t="s">
        <v>5</v>
      </c>
      <c r="I18" t="s">
        <v>5</v>
      </c>
      <c r="J18" t="s">
        <v>77</v>
      </c>
      <c r="K18" t="str">
        <f t="shared" si="1"/>
        <v>jlacks</v>
      </c>
      <c r="L18" t="str">
        <f t="shared" si="0"/>
        <v>jlacks@grymca.org</v>
      </c>
      <c r="M18" s="3" t="s">
        <v>209</v>
      </c>
      <c r="N18" t="s">
        <v>264</v>
      </c>
    </row>
    <row r="19" spans="1:14" x14ac:dyDescent="0.35">
      <c r="A19" t="s">
        <v>4</v>
      </c>
      <c r="B19" t="s">
        <v>8</v>
      </c>
      <c r="C19" t="s">
        <v>42</v>
      </c>
      <c r="D19" t="str">
        <f t="shared" si="2"/>
        <v>Joan Marino</v>
      </c>
      <c r="E19" t="s">
        <v>41</v>
      </c>
      <c r="F19" t="s">
        <v>9</v>
      </c>
      <c r="G19" t="s">
        <v>4</v>
      </c>
      <c r="H19" t="s">
        <v>5</v>
      </c>
      <c r="I19" t="s">
        <v>5</v>
      </c>
      <c r="J19" t="s">
        <v>77</v>
      </c>
      <c r="K19" t="str">
        <f t="shared" si="1"/>
        <v>jmarino</v>
      </c>
      <c r="L19" t="str">
        <f t="shared" si="0"/>
        <v>jmarino@grymca.org</v>
      </c>
      <c r="M19" s="3" t="s">
        <v>209</v>
      </c>
      <c r="N19" t="s">
        <v>265</v>
      </c>
    </row>
    <row r="20" spans="1:14" ht="17.25" customHeight="1" x14ac:dyDescent="0.35">
      <c r="A20" t="s">
        <v>4</v>
      </c>
      <c r="B20" t="s">
        <v>8</v>
      </c>
      <c r="C20" t="s">
        <v>44</v>
      </c>
      <c r="D20" t="str">
        <f t="shared" si="2"/>
        <v>Theresa McAllister</v>
      </c>
      <c r="E20" t="s">
        <v>43</v>
      </c>
      <c r="F20" t="s">
        <v>9</v>
      </c>
      <c r="G20" t="s">
        <v>4</v>
      </c>
      <c r="H20" t="s">
        <v>5</v>
      </c>
      <c r="I20" t="s">
        <v>5</v>
      </c>
      <c r="J20" t="s">
        <v>77</v>
      </c>
      <c r="K20" t="str">
        <f t="shared" si="1"/>
        <v>tmcallister</v>
      </c>
      <c r="L20" s="4" t="s">
        <v>350</v>
      </c>
      <c r="M20" s="3" t="s">
        <v>209</v>
      </c>
      <c r="N20" t="s">
        <v>266</v>
      </c>
    </row>
    <row r="21" spans="1:14" x14ac:dyDescent="0.35">
      <c r="A21" t="s">
        <v>4</v>
      </c>
      <c r="B21" t="s">
        <v>8</v>
      </c>
      <c r="C21" t="s">
        <v>46</v>
      </c>
      <c r="D21" t="str">
        <f t="shared" si="2"/>
        <v>Michelle McClung</v>
      </c>
      <c r="E21" t="s">
        <v>45</v>
      </c>
      <c r="F21" t="s">
        <v>9</v>
      </c>
      <c r="G21" t="s">
        <v>4</v>
      </c>
      <c r="H21" t="s">
        <v>5</v>
      </c>
      <c r="I21" t="s">
        <v>5</v>
      </c>
      <c r="J21" t="s">
        <v>77</v>
      </c>
      <c r="K21" t="str">
        <f t="shared" si="1"/>
        <v>mmcclung</v>
      </c>
      <c r="L21" t="str">
        <f t="shared" si="0"/>
        <v>mmcclung@grymca.org</v>
      </c>
      <c r="M21" s="3" t="s">
        <v>209</v>
      </c>
      <c r="N21" t="s">
        <v>267</v>
      </c>
    </row>
    <row r="22" spans="1:14" x14ac:dyDescent="0.35">
      <c r="A22" t="s">
        <v>4</v>
      </c>
      <c r="B22" t="s">
        <v>8</v>
      </c>
      <c r="C22" t="s">
        <v>48</v>
      </c>
      <c r="D22" t="str">
        <f t="shared" si="2"/>
        <v>Taylor McDonald</v>
      </c>
      <c r="E22" t="s">
        <v>47</v>
      </c>
      <c r="F22" t="s">
        <v>9</v>
      </c>
      <c r="G22" t="s">
        <v>4</v>
      </c>
      <c r="H22" t="s">
        <v>5</v>
      </c>
      <c r="I22" t="s">
        <v>5</v>
      </c>
      <c r="J22" t="s">
        <v>77</v>
      </c>
      <c r="K22" t="str">
        <f t="shared" si="1"/>
        <v>tmcdonald</v>
      </c>
      <c r="L22" t="str">
        <f t="shared" si="0"/>
        <v>tmcdonald@grymca.org</v>
      </c>
      <c r="M22" s="3" t="s">
        <v>209</v>
      </c>
      <c r="N22" t="s">
        <v>268</v>
      </c>
    </row>
    <row r="23" spans="1:14" x14ac:dyDescent="0.35">
      <c r="A23" t="s">
        <v>4</v>
      </c>
      <c r="B23" t="s">
        <v>8</v>
      </c>
      <c r="C23" t="s">
        <v>50</v>
      </c>
      <c r="D23" t="str">
        <f t="shared" si="2"/>
        <v>Kristin Mcdonough</v>
      </c>
      <c r="E23" t="s">
        <v>49</v>
      </c>
      <c r="F23" t="s">
        <v>9</v>
      </c>
      <c r="G23" t="s">
        <v>4</v>
      </c>
      <c r="H23" t="s">
        <v>5</v>
      </c>
      <c r="I23" t="s">
        <v>5</v>
      </c>
      <c r="J23" t="s">
        <v>77</v>
      </c>
      <c r="K23" t="str">
        <f t="shared" si="1"/>
        <v>kmcdonough</v>
      </c>
      <c r="L23" t="str">
        <f t="shared" si="0"/>
        <v>kmcdonough@grymca.org</v>
      </c>
      <c r="M23" s="3" t="s">
        <v>209</v>
      </c>
      <c r="N23" t="s">
        <v>269</v>
      </c>
    </row>
    <row r="24" spans="1:14" x14ac:dyDescent="0.35">
      <c r="A24" t="s">
        <v>4</v>
      </c>
      <c r="B24" t="s">
        <v>8</v>
      </c>
      <c r="C24" t="s">
        <v>52</v>
      </c>
      <c r="D24" t="str">
        <f t="shared" si="2"/>
        <v>Alexandra Miller</v>
      </c>
      <c r="E24" t="s">
        <v>51</v>
      </c>
      <c r="F24" t="s">
        <v>9</v>
      </c>
      <c r="G24" t="s">
        <v>4</v>
      </c>
      <c r="H24" t="s">
        <v>5</v>
      </c>
      <c r="I24" t="s">
        <v>5</v>
      </c>
      <c r="J24" t="s">
        <v>77</v>
      </c>
      <c r="K24" t="str">
        <f t="shared" si="1"/>
        <v>amiller</v>
      </c>
      <c r="L24" t="str">
        <f t="shared" si="0"/>
        <v>amiller@grymca.org</v>
      </c>
      <c r="M24" s="3" t="s">
        <v>209</v>
      </c>
      <c r="N24" t="s">
        <v>270</v>
      </c>
    </row>
    <row r="25" spans="1:14" x14ac:dyDescent="0.35">
      <c r="A25" t="s">
        <v>4</v>
      </c>
      <c r="B25" t="s">
        <v>8</v>
      </c>
      <c r="C25" t="s">
        <v>54</v>
      </c>
      <c r="D25" t="str">
        <f t="shared" si="2"/>
        <v>Barry Miron</v>
      </c>
      <c r="E25" t="s">
        <v>53</v>
      </c>
      <c r="F25" t="s">
        <v>9</v>
      </c>
      <c r="G25" t="s">
        <v>4</v>
      </c>
      <c r="H25" t="s">
        <v>5</v>
      </c>
      <c r="I25" t="s">
        <v>5</v>
      </c>
      <c r="J25" t="s">
        <v>77</v>
      </c>
      <c r="K25" t="str">
        <f t="shared" si="1"/>
        <v>bmiron</v>
      </c>
      <c r="L25" t="str">
        <f t="shared" si="0"/>
        <v>bmiron@grymca.org</v>
      </c>
      <c r="M25" s="3" t="s">
        <v>209</v>
      </c>
      <c r="N25" t="s">
        <v>271</v>
      </c>
    </row>
    <row r="26" spans="1:14" x14ac:dyDescent="0.35">
      <c r="A26" t="s">
        <v>4</v>
      </c>
      <c r="B26" t="s">
        <v>8</v>
      </c>
      <c r="C26" t="s">
        <v>56</v>
      </c>
      <c r="D26" t="str">
        <f t="shared" si="2"/>
        <v>Kati Missman</v>
      </c>
      <c r="E26" t="s">
        <v>55</v>
      </c>
      <c r="F26" t="s">
        <v>9</v>
      </c>
      <c r="G26" t="s">
        <v>4</v>
      </c>
      <c r="H26" t="s">
        <v>5</v>
      </c>
      <c r="I26" t="s">
        <v>5</v>
      </c>
      <c r="J26" t="s">
        <v>77</v>
      </c>
      <c r="K26" t="str">
        <f t="shared" si="1"/>
        <v>kmissman</v>
      </c>
      <c r="L26" t="str">
        <f t="shared" si="0"/>
        <v>kmissman@grymca.org</v>
      </c>
      <c r="M26" s="3" t="s">
        <v>209</v>
      </c>
      <c r="N26" t="s">
        <v>272</v>
      </c>
    </row>
    <row r="27" spans="1:14" x14ac:dyDescent="0.35">
      <c r="A27" t="s">
        <v>4</v>
      </c>
      <c r="B27" t="s">
        <v>8</v>
      </c>
      <c r="C27" t="s">
        <v>58</v>
      </c>
      <c r="D27" t="str">
        <f t="shared" si="2"/>
        <v>John Moore</v>
      </c>
      <c r="E27" t="s">
        <v>57</v>
      </c>
      <c r="F27" t="s">
        <v>9</v>
      </c>
      <c r="G27" t="s">
        <v>4</v>
      </c>
      <c r="H27" t="s">
        <v>5</v>
      </c>
      <c r="I27" t="s">
        <v>5</v>
      </c>
      <c r="J27" t="s">
        <v>77</v>
      </c>
      <c r="K27" t="str">
        <f t="shared" si="1"/>
        <v>jmoore</v>
      </c>
      <c r="L27" t="str">
        <f t="shared" si="0"/>
        <v>jmoore@grymca.org</v>
      </c>
      <c r="M27" s="3" t="s">
        <v>209</v>
      </c>
      <c r="N27" t="s">
        <v>273</v>
      </c>
    </row>
    <row r="28" spans="1:14" x14ac:dyDescent="0.35">
      <c r="A28" t="s">
        <v>4</v>
      </c>
      <c r="B28" t="s">
        <v>8</v>
      </c>
      <c r="C28" t="s">
        <v>60</v>
      </c>
      <c r="D28" t="str">
        <f t="shared" si="2"/>
        <v>Lori Odroski</v>
      </c>
      <c r="E28" t="s">
        <v>59</v>
      </c>
      <c r="F28" t="s">
        <v>9</v>
      </c>
      <c r="G28" t="s">
        <v>4</v>
      </c>
      <c r="H28" t="s">
        <v>5</v>
      </c>
      <c r="I28" t="s">
        <v>5</v>
      </c>
      <c r="J28" t="s">
        <v>77</v>
      </c>
      <c r="K28" t="str">
        <f t="shared" si="1"/>
        <v>lodroski</v>
      </c>
      <c r="L28" t="str">
        <f t="shared" si="0"/>
        <v>lodroski@grymca.org</v>
      </c>
      <c r="M28" s="3" t="s">
        <v>209</v>
      </c>
      <c r="N28" t="s">
        <v>274</v>
      </c>
    </row>
    <row r="29" spans="1:14" x14ac:dyDescent="0.35">
      <c r="A29" t="s">
        <v>4</v>
      </c>
      <c r="B29" t="s">
        <v>8</v>
      </c>
      <c r="C29" t="s">
        <v>62</v>
      </c>
      <c r="D29" t="str">
        <f t="shared" si="2"/>
        <v>Dani Olsen</v>
      </c>
      <c r="E29" t="s">
        <v>61</v>
      </c>
      <c r="F29" t="s">
        <v>9</v>
      </c>
      <c r="G29" t="s">
        <v>4</v>
      </c>
      <c r="H29" t="s">
        <v>5</v>
      </c>
      <c r="I29" t="s">
        <v>5</v>
      </c>
      <c r="J29" t="s">
        <v>77</v>
      </c>
      <c r="K29" t="str">
        <f t="shared" si="1"/>
        <v>dolsen</v>
      </c>
      <c r="L29" t="str">
        <f t="shared" si="0"/>
        <v>dolsen@grymca.org</v>
      </c>
      <c r="M29" s="3" t="s">
        <v>209</v>
      </c>
      <c r="N29" t="s">
        <v>275</v>
      </c>
    </row>
    <row r="30" spans="1:14" x14ac:dyDescent="0.35">
      <c r="A30" t="s">
        <v>4</v>
      </c>
      <c r="B30" t="s">
        <v>8</v>
      </c>
      <c r="C30" t="s">
        <v>64</v>
      </c>
      <c r="D30" t="str">
        <f t="shared" si="2"/>
        <v>Erich Pagel</v>
      </c>
      <c r="E30" t="s">
        <v>63</v>
      </c>
      <c r="F30" t="s">
        <v>9</v>
      </c>
      <c r="G30" t="s">
        <v>4</v>
      </c>
      <c r="H30" t="s">
        <v>5</v>
      </c>
      <c r="I30" t="s">
        <v>5</v>
      </c>
      <c r="J30" t="s">
        <v>77</v>
      </c>
      <c r="K30" t="str">
        <f t="shared" si="1"/>
        <v>epagel</v>
      </c>
      <c r="L30" t="str">
        <f t="shared" si="0"/>
        <v>epagel@grymca.org</v>
      </c>
      <c r="M30" s="3" t="s">
        <v>209</v>
      </c>
      <c r="N30" t="s">
        <v>276</v>
      </c>
    </row>
    <row r="31" spans="1:14" x14ac:dyDescent="0.35">
      <c r="A31" t="s">
        <v>4</v>
      </c>
      <c r="B31" t="s">
        <v>8</v>
      </c>
      <c r="C31" t="s">
        <v>66</v>
      </c>
      <c r="D31" t="str">
        <f t="shared" si="2"/>
        <v>Susan Wilson</v>
      </c>
      <c r="E31" t="s">
        <v>65</v>
      </c>
      <c r="F31" t="s">
        <v>9</v>
      </c>
      <c r="G31" t="s">
        <v>4</v>
      </c>
      <c r="H31" t="s">
        <v>5</v>
      </c>
      <c r="I31" t="s">
        <v>5</v>
      </c>
      <c r="J31" t="s">
        <v>77</v>
      </c>
      <c r="K31" t="str">
        <f t="shared" si="1"/>
        <v>swilson</v>
      </c>
      <c r="L31" t="str">
        <f t="shared" si="0"/>
        <v>swilson@grymca.org</v>
      </c>
      <c r="M31" s="3" t="s">
        <v>209</v>
      </c>
      <c r="N31" t="s">
        <v>277</v>
      </c>
    </row>
    <row r="32" spans="1:14" x14ac:dyDescent="0.35">
      <c r="A32" t="s">
        <v>4</v>
      </c>
      <c r="B32" t="s">
        <v>8</v>
      </c>
      <c r="C32" t="s">
        <v>68</v>
      </c>
      <c r="D32" t="str">
        <f t="shared" si="2"/>
        <v>Narisa Sayfie</v>
      </c>
      <c r="E32" t="s">
        <v>67</v>
      </c>
      <c r="F32" t="s">
        <v>9</v>
      </c>
      <c r="G32" t="s">
        <v>4</v>
      </c>
      <c r="H32" t="s">
        <v>5</v>
      </c>
      <c r="I32" t="s">
        <v>5</v>
      </c>
      <c r="J32" t="s">
        <v>77</v>
      </c>
      <c r="K32" t="str">
        <f t="shared" si="1"/>
        <v>nsayfie</v>
      </c>
      <c r="L32" t="str">
        <f t="shared" si="0"/>
        <v>nsayfie@grymca.org</v>
      </c>
      <c r="M32" s="3" t="s">
        <v>209</v>
      </c>
      <c r="N32" t="s">
        <v>278</v>
      </c>
    </row>
    <row r="33" spans="1:14" x14ac:dyDescent="0.35">
      <c r="A33" t="s">
        <v>4</v>
      </c>
      <c r="B33" t="s">
        <v>8</v>
      </c>
      <c r="C33" t="s">
        <v>70</v>
      </c>
      <c r="D33" t="str">
        <f t="shared" si="2"/>
        <v>Caroline Silliven</v>
      </c>
      <c r="E33" t="s">
        <v>69</v>
      </c>
      <c r="F33" t="s">
        <v>9</v>
      </c>
      <c r="G33" t="s">
        <v>4</v>
      </c>
      <c r="H33" t="s">
        <v>5</v>
      </c>
      <c r="I33" t="s">
        <v>5</v>
      </c>
      <c r="J33" t="s">
        <v>77</v>
      </c>
      <c r="K33" t="str">
        <f t="shared" si="1"/>
        <v>csilliven</v>
      </c>
      <c r="L33" t="str">
        <f t="shared" si="0"/>
        <v>csilliven@grymca.org</v>
      </c>
      <c r="M33" s="3" t="s">
        <v>209</v>
      </c>
      <c r="N33" t="s">
        <v>279</v>
      </c>
    </row>
    <row r="34" spans="1:14" x14ac:dyDescent="0.35">
      <c r="A34" t="s">
        <v>4</v>
      </c>
      <c r="B34" t="s">
        <v>8</v>
      </c>
      <c r="C34" t="s">
        <v>363</v>
      </c>
      <c r="D34" t="str">
        <f t="shared" si="2"/>
        <v>Patrick Stout</v>
      </c>
      <c r="E34" t="s">
        <v>364</v>
      </c>
      <c r="F34" t="s">
        <v>9</v>
      </c>
      <c r="G34" t="s">
        <v>4</v>
      </c>
      <c r="H34" t="s">
        <v>5</v>
      </c>
      <c r="J34" t="s">
        <v>77</v>
      </c>
      <c r="K34" t="str">
        <f t="shared" si="1"/>
        <v>pstout</v>
      </c>
      <c r="L34" t="str">
        <f t="shared" si="0"/>
        <v>pstout@grymca.org</v>
      </c>
      <c r="M34" s="3" t="s">
        <v>209</v>
      </c>
      <c r="N34" t="s">
        <v>365</v>
      </c>
    </row>
    <row r="35" spans="1:14" x14ac:dyDescent="0.35">
      <c r="A35" t="s">
        <v>4</v>
      </c>
      <c r="B35" t="s">
        <v>8</v>
      </c>
      <c r="C35" t="s">
        <v>71</v>
      </c>
      <c r="D35" t="str">
        <f t="shared" si="2"/>
        <v>Macauley Wieland-Horning</v>
      </c>
      <c r="E35" t="s">
        <v>72</v>
      </c>
      <c r="F35" t="s">
        <v>9</v>
      </c>
      <c r="G35" t="s">
        <v>4</v>
      </c>
      <c r="H35" t="s">
        <v>5</v>
      </c>
      <c r="I35" t="s">
        <v>5</v>
      </c>
      <c r="J35" t="s">
        <v>77</v>
      </c>
      <c r="K35" t="str">
        <f t="shared" si="1"/>
        <v>mwieland-horning</v>
      </c>
      <c r="L35" t="str">
        <f t="shared" ref="L35:L67" si="3">LOWER(LEFT(TRIM(C35),1)&amp;TRIM(E35)&amp;"@grymca.org")</f>
        <v>mwieland-horning@grymca.org</v>
      </c>
      <c r="M35" s="3" t="s">
        <v>209</v>
      </c>
      <c r="N35" t="s">
        <v>280</v>
      </c>
    </row>
    <row r="36" spans="1:14" x14ac:dyDescent="0.35">
      <c r="A36" t="s">
        <v>75</v>
      </c>
      <c r="B36" t="s">
        <v>79</v>
      </c>
      <c r="C36" t="s">
        <v>74</v>
      </c>
      <c r="D36" t="str">
        <f t="shared" si="2"/>
        <v>Ethan Knoth</v>
      </c>
      <c r="E36" t="s">
        <v>73</v>
      </c>
      <c r="F36" t="s">
        <v>9</v>
      </c>
      <c r="G36" t="s">
        <v>75</v>
      </c>
      <c r="H36" t="s">
        <v>78</v>
      </c>
      <c r="I36" t="s">
        <v>78</v>
      </c>
      <c r="J36" t="s">
        <v>76</v>
      </c>
      <c r="K36" t="str">
        <f t="shared" si="1"/>
        <v>eknoth</v>
      </c>
      <c r="L36" t="str">
        <f>LOWER(LEFT(TRIM(C36),1)&amp;TRIM(E36)&amp;"@grymca.org")</f>
        <v>eknoth@grymca.org</v>
      </c>
      <c r="M36" s="3" t="s">
        <v>211</v>
      </c>
      <c r="N36" t="s">
        <v>281</v>
      </c>
    </row>
    <row r="37" spans="1:14" x14ac:dyDescent="0.35">
      <c r="A37" t="s">
        <v>4</v>
      </c>
      <c r="B37" t="s">
        <v>87</v>
      </c>
      <c r="C37" t="s">
        <v>82</v>
      </c>
      <c r="D37" t="s">
        <v>218</v>
      </c>
      <c r="E37" t="s">
        <v>83</v>
      </c>
      <c r="F37" t="s">
        <v>81</v>
      </c>
      <c r="G37" t="s">
        <v>4</v>
      </c>
      <c r="H37" t="s">
        <v>80</v>
      </c>
      <c r="I37" t="s">
        <v>80</v>
      </c>
      <c r="J37" t="s">
        <v>84</v>
      </c>
      <c r="K37" t="str">
        <f t="shared" si="1"/>
        <v>alongstreet</v>
      </c>
      <c r="L37" t="str">
        <f t="shared" si="3"/>
        <v>alongstreet@grymca.org</v>
      </c>
      <c r="M37" s="3" t="s">
        <v>210</v>
      </c>
      <c r="N37" t="s">
        <v>282</v>
      </c>
    </row>
    <row r="38" spans="1:14" x14ac:dyDescent="0.35">
      <c r="A38" t="s">
        <v>4</v>
      </c>
      <c r="B38" t="s">
        <v>87</v>
      </c>
      <c r="C38" t="s">
        <v>86</v>
      </c>
      <c r="D38" t="s">
        <v>219</v>
      </c>
      <c r="E38" t="s">
        <v>85</v>
      </c>
      <c r="F38" t="s">
        <v>81</v>
      </c>
      <c r="G38" t="s">
        <v>4</v>
      </c>
      <c r="H38" t="s">
        <v>80</v>
      </c>
      <c r="I38" t="s">
        <v>80</v>
      </c>
      <c r="J38" t="s">
        <v>84</v>
      </c>
      <c r="K38" t="str">
        <f t="shared" si="1"/>
        <v>asaum</v>
      </c>
      <c r="L38" t="str">
        <f t="shared" si="3"/>
        <v>asaum@grymca.org</v>
      </c>
      <c r="M38" s="3" t="s">
        <v>210</v>
      </c>
      <c r="N38" t="s">
        <v>283</v>
      </c>
    </row>
    <row r="39" spans="1:14" x14ac:dyDescent="0.35">
      <c r="A39" t="s">
        <v>89</v>
      </c>
      <c r="B39" t="s">
        <v>90</v>
      </c>
      <c r="C39" t="s">
        <v>221</v>
      </c>
      <c r="D39" t="s">
        <v>220</v>
      </c>
      <c r="E39" t="s">
        <v>88</v>
      </c>
      <c r="F39" t="s">
        <v>9</v>
      </c>
      <c r="G39" t="s">
        <v>89</v>
      </c>
      <c r="H39" t="s">
        <v>91</v>
      </c>
      <c r="I39" t="s">
        <v>91</v>
      </c>
      <c r="J39" t="s">
        <v>92</v>
      </c>
      <c r="K39" t="str">
        <f t="shared" si="1"/>
        <v>acopeland</v>
      </c>
      <c r="L39" t="str">
        <f t="shared" si="3"/>
        <v>acopeland@grymca.org</v>
      </c>
      <c r="M39" s="3" t="s">
        <v>212</v>
      </c>
      <c r="N39" t="s">
        <v>284</v>
      </c>
    </row>
    <row r="40" spans="1:14" x14ac:dyDescent="0.35">
      <c r="A40" t="s">
        <v>89</v>
      </c>
      <c r="B40" t="s">
        <v>90</v>
      </c>
      <c r="C40" t="s">
        <v>93</v>
      </c>
      <c r="D40" t="str">
        <f t="shared" si="2"/>
        <v>Rachel Madsen</v>
      </c>
      <c r="E40" t="s">
        <v>94</v>
      </c>
      <c r="F40" t="s">
        <v>9</v>
      </c>
      <c r="G40" t="s">
        <v>89</v>
      </c>
      <c r="H40" t="s">
        <v>91</v>
      </c>
      <c r="I40" t="s">
        <v>91</v>
      </c>
      <c r="J40" t="s">
        <v>92</v>
      </c>
      <c r="K40" t="str">
        <f t="shared" si="1"/>
        <v>rmadsen</v>
      </c>
      <c r="L40" t="str">
        <f t="shared" si="3"/>
        <v>rmadsen@grymca.org</v>
      </c>
      <c r="M40" s="3" t="s">
        <v>212</v>
      </c>
      <c r="N40" t="s">
        <v>285</v>
      </c>
    </row>
    <row r="41" spans="1:14" x14ac:dyDescent="0.35">
      <c r="A41" t="s">
        <v>89</v>
      </c>
      <c r="B41" t="s">
        <v>90</v>
      </c>
      <c r="C41" t="s">
        <v>95</v>
      </c>
      <c r="D41" t="str">
        <f t="shared" si="2"/>
        <v>Dawn Price-Landis</v>
      </c>
      <c r="E41" t="s">
        <v>96</v>
      </c>
      <c r="F41" t="s">
        <v>9</v>
      </c>
      <c r="G41" t="s">
        <v>89</v>
      </c>
      <c r="H41" t="s">
        <v>91</v>
      </c>
      <c r="I41" t="s">
        <v>91</v>
      </c>
      <c r="J41" t="s">
        <v>92</v>
      </c>
      <c r="K41" t="str">
        <f t="shared" si="1"/>
        <v>dprice-landis</v>
      </c>
      <c r="L41" t="str">
        <f t="shared" si="3"/>
        <v>dprice-landis@grymca.org</v>
      </c>
      <c r="M41" s="3" t="s">
        <v>212</v>
      </c>
      <c r="N41" t="s">
        <v>351</v>
      </c>
    </row>
    <row r="42" spans="1:14" x14ac:dyDescent="0.35">
      <c r="A42" t="s">
        <v>89</v>
      </c>
      <c r="B42" t="s">
        <v>90</v>
      </c>
      <c r="C42" t="s">
        <v>97</v>
      </c>
      <c r="D42" t="str">
        <f t="shared" si="2"/>
        <v>Wendy Rennaker</v>
      </c>
      <c r="E42" t="s">
        <v>98</v>
      </c>
      <c r="F42" t="s">
        <v>9</v>
      </c>
      <c r="G42" t="s">
        <v>89</v>
      </c>
      <c r="H42" t="s">
        <v>91</v>
      </c>
      <c r="I42" t="s">
        <v>91</v>
      </c>
      <c r="J42" t="s">
        <v>92</v>
      </c>
      <c r="K42" t="str">
        <f t="shared" si="1"/>
        <v>wrennaker</v>
      </c>
      <c r="L42" t="str">
        <f t="shared" si="3"/>
        <v>wrennaker@grymca.org</v>
      </c>
      <c r="M42" s="3" t="s">
        <v>212</v>
      </c>
      <c r="N42" t="s">
        <v>286</v>
      </c>
    </row>
    <row r="43" spans="1:14" x14ac:dyDescent="0.35">
      <c r="A43" t="s">
        <v>89</v>
      </c>
      <c r="B43" t="s">
        <v>90</v>
      </c>
      <c r="C43" t="s">
        <v>99</v>
      </c>
      <c r="D43" t="str">
        <f t="shared" si="2"/>
        <v>Georgia Schmitz</v>
      </c>
      <c r="E43" t="s">
        <v>100</v>
      </c>
      <c r="F43" t="s">
        <v>9</v>
      </c>
      <c r="G43" t="s">
        <v>89</v>
      </c>
      <c r="H43" t="s">
        <v>91</v>
      </c>
      <c r="I43" t="s">
        <v>91</v>
      </c>
      <c r="J43" t="s">
        <v>92</v>
      </c>
      <c r="K43" t="str">
        <f t="shared" si="1"/>
        <v>gschmitz</v>
      </c>
      <c r="L43" t="str">
        <f t="shared" si="3"/>
        <v>gschmitz@grymca.org</v>
      </c>
      <c r="M43" s="3" t="s">
        <v>212</v>
      </c>
      <c r="N43" t="s">
        <v>287</v>
      </c>
    </row>
    <row r="44" spans="1:14" x14ac:dyDescent="0.35">
      <c r="A44" t="s">
        <v>103</v>
      </c>
      <c r="B44" t="s">
        <v>104</v>
      </c>
      <c r="C44" t="s">
        <v>101</v>
      </c>
      <c r="D44" t="str">
        <f t="shared" si="2"/>
        <v>Mike Arnswald</v>
      </c>
      <c r="E44" t="s">
        <v>102</v>
      </c>
      <c r="F44" t="s">
        <v>9</v>
      </c>
      <c r="G44" t="s">
        <v>103</v>
      </c>
      <c r="H44" t="s">
        <v>91</v>
      </c>
      <c r="I44" t="s">
        <v>91</v>
      </c>
      <c r="J44" t="s">
        <v>131</v>
      </c>
      <c r="K44" t="str">
        <f t="shared" si="1"/>
        <v>marnswald</v>
      </c>
      <c r="L44" t="str">
        <f t="shared" si="3"/>
        <v>marnswald@grymca.org</v>
      </c>
      <c r="M44" s="3" t="s">
        <v>214</v>
      </c>
      <c r="N44" t="s">
        <v>288</v>
      </c>
    </row>
    <row r="45" spans="1:14" x14ac:dyDescent="0.35">
      <c r="A45" t="s">
        <v>103</v>
      </c>
      <c r="B45" t="s">
        <v>104</v>
      </c>
      <c r="C45" t="s">
        <v>194</v>
      </c>
      <c r="D45" t="s">
        <v>222</v>
      </c>
      <c r="E45" t="s">
        <v>105</v>
      </c>
      <c r="F45" t="s">
        <v>9</v>
      </c>
      <c r="G45" t="s">
        <v>103</v>
      </c>
      <c r="H45" t="s">
        <v>91</v>
      </c>
      <c r="I45" t="s">
        <v>91</v>
      </c>
      <c r="J45" t="s">
        <v>131</v>
      </c>
      <c r="K45" t="str">
        <f t="shared" si="1"/>
        <v>jbarwin</v>
      </c>
      <c r="L45" t="str">
        <f t="shared" si="3"/>
        <v>jbarwin@grymca.org</v>
      </c>
      <c r="M45" s="3" t="s">
        <v>214</v>
      </c>
      <c r="N45" t="s">
        <v>289</v>
      </c>
    </row>
    <row r="46" spans="1:14" x14ac:dyDescent="0.35">
      <c r="A46" t="s">
        <v>103</v>
      </c>
      <c r="B46" t="s">
        <v>104</v>
      </c>
      <c r="C46" t="s">
        <v>107</v>
      </c>
      <c r="D46" t="str">
        <f t="shared" si="2"/>
        <v>Christine Dominiak</v>
      </c>
      <c r="E46" t="s">
        <v>106</v>
      </c>
      <c r="F46" t="s">
        <v>9</v>
      </c>
      <c r="G46" t="s">
        <v>103</v>
      </c>
      <c r="H46" t="s">
        <v>91</v>
      </c>
      <c r="I46" t="s">
        <v>91</v>
      </c>
      <c r="J46" t="s">
        <v>131</v>
      </c>
      <c r="K46" t="str">
        <f t="shared" si="1"/>
        <v>cdominiak</v>
      </c>
      <c r="L46" t="str">
        <f t="shared" si="3"/>
        <v>cdominiak@grymca.org</v>
      </c>
      <c r="M46" s="3" t="s">
        <v>214</v>
      </c>
      <c r="N46" t="s">
        <v>290</v>
      </c>
    </row>
    <row r="47" spans="1:14" ht="16.5" customHeight="1" x14ac:dyDescent="0.35">
      <c r="A47" t="s">
        <v>103</v>
      </c>
      <c r="B47" t="s">
        <v>104</v>
      </c>
      <c r="C47" t="s">
        <v>108</v>
      </c>
      <c r="D47" t="str">
        <f t="shared" si="2"/>
        <v>Laura Cleypool</v>
      </c>
      <c r="E47" t="s">
        <v>353</v>
      </c>
      <c r="F47" t="s">
        <v>9</v>
      </c>
      <c r="G47" t="s">
        <v>103</v>
      </c>
      <c r="H47" t="s">
        <v>91</v>
      </c>
      <c r="I47" t="s">
        <v>91</v>
      </c>
      <c r="J47" t="s">
        <v>131</v>
      </c>
      <c r="K47" t="str">
        <f t="shared" si="1"/>
        <v>lcleypool</v>
      </c>
      <c r="L47" s="5" t="s">
        <v>352</v>
      </c>
      <c r="M47" s="3" t="s">
        <v>214</v>
      </c>
      <c r="N47" t="s">
        <v>291</v>
      </c>
    </row>
    <row r="48" spans="1:14" x14ac:dyDescent="0.35">
      <c r="A48" t="s">
        <v>103</v>
      </c>
      <c r="B48" t="s">
        <v>104</v>
      </c>
      <c r="C48" t="s">
        <v>110</v>
      </c>
      <c r="D48" t="str">
        <f t="shared" si="2"/>
        <v>Heather Guerra</v>
      </c>
      <c r="E48" t="s">
        <v>109</v>
      </c>
      <c r="F48" t="s">
        <v>9</v>
      </c>
      <c r="G48" t="s">
        <v>103</v>
      </c>
      <c r="H48" t="s">
        <v>91</v>
      </c>
      <c r="I48" t="s">
        <v>91</v>
      </c>
      <c r="J48" t="s">
        <v>131</v>
      </c>
      <c r="K48" t="str">
        <f t="shared" si="1"/>
        <v>hguerra</v>
      </c>
      <c r="L48" t="str">
        <f t="shared" si="3"/>
        <v>hguerra@grymca.org</v>
      </c>
      <c r="M48" s="3" t="s">
        <v>214</v>
      </c>
      <c r="N48" t="s">
        <v>292</v>
      </c>
    </row>
    <row r="49" spans="1:14" x14ac:dyDescent="0.35">
      <c r="A49" t="s">
        <v>103</v>
      </c>
      <c r="B49" t="s">
        <v>104</v>
      </c>
      <c r="C49" t="s">
        <v>223</v>
      </c>
      <c r="D49" t="s">
        <v>224</v>
      </c>
      <c r="E49" t="s">
        <v>111</v>
      </c>
      <c r="F49" t="s">
        <v>9</v>
      </c>
      <c r="G49" t="s">
        <v>103</v>
      </c>
      <c r="H49" t="s">
        <v>91</v>
      </c>
      <c r="I49" t="s">
        <v>91</v>
      </c>
      <c r="J49" t="s">
        <v>131</v>
      </c>
      <c r="K49" t="str">
        <f t="shared" si="1"/>
        <v>aemery</v>
      </c>
      <c r="L49" t="str">
        <f t="shared" si="3"/>
        <v>aemery@grymca.org</v>
      </c>
      <c r="M49" s="3" t="s">
        <v>214</v>
      </c>
      <c r="N49" t="s">
        <v>293</v>
      </c>
    </row>
    <row r="50" spans="1:14" x14ac:dyDescent="0.35">
      <c r="A50" t="s">
        <v>103</v>
      </c>
      <c r="B50" t="s">
        <v>104</v>
      </c>
      <c r="C50" t="s">
        <v>23</v>
      </c>
      <c r="D50" t="str">
        <f t="shared" si="2"/>
        <v>Angela Korf</v>
      </c>
      <c r="E50" t="s">
        <v>112</v>
      </c>
      <c r="F50" t="s">
        <v>9</v>
      </c>
      <c r="G50" t="s">
        <v>103</v>
      </c>
      <c r="H50" t="s">
        <v>91</v>
      </c>
      <c r="I50" t="s">
        <v>91</v>
      </c>
      <c r="J50" t="s">
        <v>131</v>
      </c>
      <c r="K50" t="str">
        <f t="shared" si="1"/>
        <v>akorf</v>
      </c>
      <c r="L50" t="str">
        <f t="shared" si="3"/>
        <v>akorf@grymca.org</v>
      </c>
      <c r="M50" s="3" t="s">
        <v>214</v>
      </c>
      <c r="N50" t="s">
        <v>294</v>
      </c>
    </row>
    <row r="51" spans="1:14" x14ac:dyDescent="0.35">
      <c r="A51" t="s">
        <v>103</v>
      </c>
      <c r="B51" t="s">
        <v>104</v>
      </c>
      <c r="C51" t="s">
        <v>23</v>
      </c>
      <c r="D51" t="str">
        <f t="shared" si="2"/>
        <v>Angela Kelley</v>
      </c>
      <c r="E51" t="s">
        <v>113</v>
      </c>
      <c r="F51" t="s">
        <v>9</v>
      </c>
      <c r="G51" t="s">
        <v>103</v>
      </c>
      <c r="H51" t="s">
        <v>91</v>
      </c>
      <c r="I51" t="s">
        <v>91</v>
      </c>
      <c r="J51" t="s">
        <v>131</v>
      </c>
      <c r="K51" t="str">
        <f t="shared" si="1"/>
        <v>akelley</v>
      </c>
      <c r="L51" t="str">
        <f t="shared" si="3"/>
        <v>akelley@grymca.org</v>
      </c>
      <c r="M51" s="3" t="s">
        <v>214</v>
      </c>
      <c r="N51" t="s">
        <v>295</v>
      </c>
    </row>
    <row r="52" spans="1:14" ht="15" customHeight="1" x14ac:dyDescent="0.35">
      <c r="A52" t="s">
        <v>103</v>
      </c>
      <c r="B52" t="s">
        <v>104</v>
      </c>
      <c r="C52" t="s">
        <v>116</v>
      </c>
      <c r="D52" t="str">
        <f t="shared" si="2"/>
        <v>Kelly Jackson</v>
      </c>
      <c r="E52" t="s">
        <v>115</v>
      </c>
      <c r="F52" t="s">
        <v>9</v>
      </c>
      <c r="G52" t="s">
        <v>103</v>
      </c>
      <c r="H52" t="s">
        <v>91</v>
      </c>
      <c r="I52" t="s">
        <v>91</v>
      </c>
      <c r="J52" t="s">
        <v>131</v>
      </c>
      <c r="K52" t="str">
        <f t="shared" si="1"/>
        <v>kjackson</v>
      </c>
      <c r="L52" s="5" t="s">
        <v>354</v>
      </c>
      <c r="M52" s="3" t="s">
        <v>214</v>
      </c>
      <c r="N52" t="s">
        <v>296</v>
      </c>
    </row>
    <row r="53" spans="1:14" x14ac:dyDescent="0.35">
      <c r="A53" t="s">
        <v>103</v>
      </c>
      <c r="B53" t="s">
        <v>104</v>
      </c>
      <c r="C53" t="s">
        <v>118</v>
      </c>
      <c r="D53" t="str">
        <f t="shared" si="2"/>
        <v>Leesa Christophel</v>
      </c>
      <c r="E53" t="s">
        <v>117</v>
      </c>
      <c r="F53" t="s">
        <v>9</v>
      </c>
      <c r="G53" t="s">
        <v>103</v>
      </c>
      <c r="H53" t="s">
        <v>91</v>
      </c>
      <c r="I53" t="s">
        <v>91</v>
      </c>
      <c r="J53" t="s">
        <v>131</v>
      </c>
      <c r="K53" t="str">
        <f t="shared" si="1"/>
        <v>lchristophel</v>
      </c>
      <c r="L53" t="str">
        <f t="shared" si="3"/>
        <v>lchristophel@grymca.org</v>
      </c>
      <c r="M53" s="3" t="s">
        <v>214</v>
      </c>
      <c r="N53" t="s">
        <v>297</v>
      </c>
    </row>
    <row r="54" spans="1:14" x14ac:dyDescent="0.35">
      <c r="A54" t="s">
        <v>103</v>
      </c>
      <c r="B54" t="s">
        <v>104</v>
      </c>
      <c r="C54" t="s">
        <v>119</v>
      </c>
      <c r="D54" t="str">
        <f t="shared" si="2"/>
        <v>Stephanie Sousa</v>
      </c>
      <c r="E54" t="s">
        <v>355</v>
      </c>
      <c r="F54" t="s">
        <v>9</v>
      </c>
      <c r="G54" t="s">
        <v>103</v>
      </c>
      <c r="H54" t="s">
        <v>91</v>
      </c>
      <c r="I54" t="s">
        <v>91</v>
      </c>
      <c r="J54" t="s">
        <v>131</v>
      </c>
      <c r="K54" t="str">
        <f t="shared" si="1"/>
        <v>ssousa</v>
      </c>
      <c r="L54" t="str">
        <f>LOWER(LEFT(TRIM(C54),1)&amp;TRIM(E54)&amp;"@grymca.org")</f>
        <v>ssousa@grymca.org</v>
      </c>
      <c r="M54" s="3" t="s">
        <v>214</v>
      </c>
      <c r="N54" t="s">
        <v>298</v>
      </c>
    </row>
    <row r="55" spans="1:14" ht="16" x14ac:dyDescent="0.4">
      <c r="A55" t="s">
        <v>103</v>
      </c>
      <c r="B55" t="s">
        <v>104</v>
      </c>
      <c r="C55" s="1" t="s">
        <v>121</v>
      </c>
      <c r="D55" t="str">
        <f t="shared" si="2"/>
        <v>Jennifer Koster</v>
      </c>
      <c r="E55" t="s">
        <v>120</v>
      </c>
      <c r="F55" t="s">
        <v>9</v>
      </c>
      <c r="G55" t="s">
        <v>103</v>
      </c>
      <c r="H55" t="s">
        <v>91</v>
      </c>
      <c r="I55" t="s">
        <v>91</v>
      </c>
      <c r="J55" t="s">
        <v>131</v>
      </c>
      <c r="K55" t="str">
        <f t="shared" si="1"/>
        <v>jkoster</v>
      </c>
      <c r="L55" t="str">
        <f t="shared" si="3"/>
        <v>jkoster@grymca.org</v>
      </c>
      <c r="M55" s="3" t="s">
        <v>214</v>
      </c>
      <c r="N55" t="s">
        <v>299</v>
      </c>
    </row>
    <row r="56" spans="1:14" ht="16" x14ac:dyDescent="0.4">
      <c r="A56" t="s">
        <v>103</v>
      </c>
      <c r="B56" t="s">
        <v>104</v>
      </c>
      <c r="C56" s="1" t="s">
        <v>123</v>
      </c>
      <c r="D56" t="str">
        <f t="shared" si="2"/>
        <v>Sarah Hudson</v>
      </c>
      <c r="E56" t="s">
        <v>122</v>
      </c>
      <c r="F56" t="s">
        <v>9</v>
      </c>
      <c r="G56" t="s">
        <v>103</v>
      </c>
      <c r="H56" t="s">
        <v>91</v>
      </c>
      <c r="I56" t="s">
        <v>91</v>
      </c>
      <c r="J56" t="s">
        <v>131</v>
      </c>
      <c r="K56" t="str">
        <f t="shared" si="1"/>
        <v>shudson</v>
      </c>
      <c r="L56" t="str">
        <f t="shared" si="3"/>
        <v>shudson@grymca.org</v>
      </c>
      <c r="M56" s="3" t="s">
        <v>214</v>
      </c>
      <c r="N56" t="s">
        <v>300</v>
      </c>
    </row>
    <row r="57" spans="1:14" ht="16" x14ac:dyDescent="0.4">
      <c r="A57" t="s">
        <v>103</v>
      </c>
      <c r="B57" t="s">
        <v>104</v>
      </c>
      <c r="C57" s="1" t="s">
        <v>125</v>
      </c>
      <c r="D57" t="str">
        <f t="shared" si="2"/>
        <v>Tiffany Dunning</v>
      </c>
      <c r="E57" t="s">
        <v>124</v>
      </c>
      <c r="F57" t="s">
        <v>9</v>
      </c>
      <c r="G57" t="s">
        <v>103</v>
      </c>
      <c r="H57" t="s">
        <v>91</v>
      </c>
      <c r="I57" t="s">
        <v>91</v>
      </c>
      <c r="J57" t="s">
        <v>131</v>
      </c>
      <c r="K57" t="str">
        <f t="shared" si="1"/>
        <v>tdunning</v>
      </c>
      <c r="L57" t="str">
        <f t="shared" si="3"/>
        <v>tdunning@grymca.org</v>
      </c>
      <c r="M57" s="3" t="s">
        <v>214</v>
      </c>
      <c r="N57" t="s">
        <v>301</v>
      </c>
    </row>
    <row r="58" spans="1:14" ht="16" x14ac:dyDescent="0.4">
      <c r="A58" t="s">
        <v>103</v>
      </c>
      <c r="B58" t="s">
        <v>104</v>
      </c>
      <c r="C58" s="1" t="s">
        <v>129</v>
      </c>
      <c r="D58" t="str">
        <f t="shared" si="2"/>
        <v>Cindi Chester</v>
      </c>
      <c r="E58" t="s">
        <v>128</v>
      </c>
      <c r="F58" t="s">
        <v>9</v>
      </c>
      <c r="G58" t="s">
        <v>103</v>
      </c>
      <c r="H58" t="s">
        <v>91</v>
      </c>
      <c r="I58" t="s">
        <v>91</v>
      </c>
      <c r="J58" t="s">
        <v>131</v>
      </c>
      <c r="K58" t="str">
        <f t="shared" si="1"/>
        <v>cchester</v>
      </c>
      <c r="L58" t="str">
        <f t="shared" si="3"/>
        <v>cchester@grymca.org</v>
      </c>
      <c r="M58" s="3" t="s">
        <v>214</v>
      </c>
      <c r="N58" t="s">
        <v>302</v>
      </c>
    </row>
    <row r="59" spans="1:14" ht="16" x14ac:dyDescent="0.4">
      <c r="A59" t="s">
        <v>103</v>
      </c>
      <c r="B59" t="s">
        <v>104</v>
      </c>
      <c r="C59" s="1" t="s">
        <v>25</v>
      </c>
      <c r="D59" t="str">
        <f t="shared" si="2"/>
        <v>Lisa Whitford</v>
      </c>
      <c r="E59" t="s">
        <v>130</v>
      </c>
      <c r="F59" t="s">
        <v>9</v>
      </c>
      <c r="G59" t="s">
        <v>103</v>
      </c>
      <c r="H59" t="s">
        <v>91</v>
      </c>
      <c r="I59" t="s">
        <v>91</v>
      </c>
      <c r="J59" t="s">
        <v>131</v>
      </c>
      <c r="K59" t="str">
        <f t="shared" si="1"/>
        <v>lwhitford</v>
      </c>
      <c r="L59" t="str">
        <f t="shared" si="3"/>
        <v>lwhitford@grymca.org</v>
      </c>
      <c r="M59" s="3" t="s">
        <v>214</v>
      </c>
      <c r="N59" t="s">
        <v>303</v>
      </c>
    </row>
    <row r="60" spans="1:14" ht="16" x14ac:dyDescent="0.4">
      <c r="A60" t="s">
        <v>103</v>
      </c>
      <c r="B60" t="s">
        <v>104</v>
      </c>
      <c r="C60" s="1" t="s">
        <v>137</v>
      </c>
      <c r="D60" t="str">
        <f t="shared" si="2"/>
        <v>Amy Hansen</v>
      </c>
      <c r="E60" t="s">
        <v>357</v>
      </c>
      <c r="F60" t="s">
        <v>9</v>
      </c>
      <c r="G60" t="s">
        <v>103</v>
      </c>
      <c r="H60" t="s">
        <v>91</v>
      </c>
      <c r="J60" t="s">
        <v>131</v>
      </c>
      <c r="K60" t="str">
        <f t="shared" si="1"/>
        <v>ahansen</v>
      </c>
      <c r="L60" t="str">
        <f t="shared" si="3"/>
        <v>ahansen@grymca.org</v>
      </c>
      <c r="M60" s="3" t="s">
        <v>214</v>
      </c>
      <c r="N60" t="s">
        <v>358</v>
      </c>
    </row>
    <row r="61" spans="1:14" ht="16" x14ac:dyDescent="0.4">
      <c r="A61" t="s">
        <v>103</v>
      </c>
      <c r="B61" t="s">
        <v>104</v>
      </c>
      <c r="C61" s="1" t="s">
        <v>360</v>
      </c>
      <c r="D61" t="str">
        <f t="shared" si="2"/>
        <v>Gloria Guilfoyle</v>
      </c>
      <c r="E61" t="s">
        <v>361</v>
      </c>
      <c r="F61" t="s">
        <v>9</v>
      </c>
      <c r="G61" t="s">
        <v>103</v>
      </c>
      <c r="H61" t="s">
        <v>91</v>
      </c>
      <c r="J61" t="s">
        <v>131</v>
      </c>
      <c r="K61" t="str">
        <f t="shared" si="1"/>
        <v>gguilfoyle</v>
      </c>
      <c r="L61" t="str">
        <f t="shared" si="3"/>
        <v>gguilfoyle@grymca.org</v>
      </c>
      <c r="M61" s="3" t="s">
        <v>214</v>
      </c>
      <c r="N61" t="s">
        <v>359</v>
      </c>
    </row>
    <row r="62" spans="1:14" x14ac:dyDescent="0.35">
      <c r="A62" t="s">
        <v>132</v>
      </c>
      <c r="B62" t="s">
        <v>133</v>
      </c>
      <c r="C62" t="s">
        <v>135</v>
      </c>
      <c r="D62" t="str">
        <f t="shared" si="2"/>
        <v>Alison Catone</v>
      </c>
      <c r="E62" t="s">
        <v>134</v>
      </c>
      <c r="F62" t="s">
        <v>9</v>
      </c>
      <c r="G62" t="s">
        <v>132</v>
      </c>
      <c r="H62" t="s">
        <v>91</v>
      </c>
      <c r="I62" t="s">
        <v>91</v>
      </c>
      <c r="J62" t="s">
        <v>139</v>
      </c>
      <c r="K62" t="str">
        <f t="shared" si="1"/>
        <v>acatone</v>
      </c>
      <c r="L62" t="str">
        <f t="shared" si="3"/>
        <v>acatone@grymca.org</v>
      </c>
      <c r="M62" s="3" t="s">
        <v>215</v>
      </c>
      <c r="N62" t="s">
        <v>304</v>
      </c>
    </row>
    <row r="63" spans="1:14" x14ac:dyDescent="0.35">
      <c r="A63" t="s">
        <v>132</v>
      </c>
      <c r="B63" t="s">
        <v>133</v>
      </c>
      <c r="C63" t="s">
        <v>137</v>
      </c>
      <c r="D63" t="str">
        <f t="shared" si="2"/>
        <v>Amy McClellan</v>
      </c>
      <c r="E63" t="s">
        <v>136</v>
      </c>
      <c r="F63" t="s">
        <v>9</v>
      </c>
      <c r="G63" t="s">
        <v>132</v>
      </c>
      <c r="H63" t="s">
        <v>91</v>
      </c>
      <c r="I63" t="s">
        <v>91</v>
      </c>
      <c r="J63" t="s">
        <v>139</v>
      </c>
      <c r="K63" t="str">
        <f t="shared" si="1"/>
        <v>amcclellan</v>
      </c>
      <c r="L63" t="str">
        <f t="shared" si="3"/>
        <v>amcclellan@grymca.org</v>
      </c>
      <c r="M63" s="3" t="s">
        <v>215</v>
      </c>
      <c r="N63" t="s">
        <v>305</v>
      </c>
    </row>
    <row r="64" spans="1:14" x14ac:dyDescent="0.35">
      <c r="A64" t="s">
        <v>132</v>
      </c>
      <c r="B64" t="s">
        <v>133</v>
      </c>
      <c r="C64" t="s">
        <v>225</v>
      </c>
      <c r="D64" t="s">
        <v>226</v>
      </c>
      <c r="E64" t="s">
        <v>138</v>
      </c>
      <c r="F64" t="s">
        <v>9</v>
      </c>
      <c r="G64" t="s">
        <v>132</v>
      </c>
      <c r="H64" t="s">
        <v>91</v>
      </c>
      <c r="I64" t="s">
        <v>91</v>
      </c>
      <c r="J64" t="s">
        <v>139</v>
      </c>
      <c r="K64" t="str">
        <f t="shared" si="1"/>
        <v>rworkman</v>
      </c>
      <c r="L64" t="str">
        <f t="shared" si="3"/>
        <v>rworkman@grymca.org</v>
      </c>
      <c r="M64" s="3" t="s">
        <v>215</v>
      </c>
      <c r="N64" t="s">
        <v>306</v>
      </c>
    </row>
    <row r="65" spans="1:14" x14ac:dyDescent="0.35">
      <c r="A65" t="s">
        <v>132</v>
      </c>
      <c r="B65" t="s">
        <v>133</v>
      </c>
      <c r="C65" t="s">
        <v>141</v>
      </c>
      <c r="D65" t="str">
        <f t="shared" si="2"/>
        <v>Bridgette Schutte</v>
      </c>
      <c r="E65" t="s">
        <v>140</v>
      </c>
      <c r="F65" t="s">
        <v>9</v>
      </c>
      <c r="G65" t="s">
        <v>132</v>
      </c>
      <c r="H65" t="s">
        <v>91</v>
      </c>
      <c r="I65" t="s">
        <v>91</v>
      </c>
      <c r="J65" t="s">
        <v>139</v>
      </c>
      <c r="K65" t="str">
        <f t="shared" si="1"/>
        <v>bschutte</v>
      </c>
      <c r="L65" t="str">
        <f t="shared" si="3"/>
        <v>bschutte@grymca.org</v>
      </c>
      <c r="M65" s="3" t="s">
        <v>215</v>
      </c>
      <c r="N65" t="s">
        <v>307</v>
      </c>
    </row>
    <row r="66" spans="1:14" ht="15.75" customHeight="1" x14ac:dyDescent="0.35">
      <c r="A66" t="s">
        <v>132</v>
      </c>
      <c r="B66" t="s">
        <v>133</v>
      </c>
      <c r="C66" t="s">
        <v>227</v>
      </c>
      <c r="D66" t="s">
        <v>228</v>
      </c>
      <c r="E66" t="s">
        <v>142</v>
      </c>
      <c r="F66" t="s">
        <v>9</v>
      </c>
      <c r="G66" t="s">
        <v>132</v>
      </c>
      <c r="H66" t="s">
        <v>91</v>
      </c>
      <c r="I66" t="s">
        <v>91</v>
      </c>
      <c r="J66" t="s">
        <v>139</v>
      </c>
      <c r="K66" t="str">
        <f t="shared" si="1"/>
        <v>dsmith</v>
      </c>
      <c r="L66" s="4" t="s">
        <v>356</v>
      </c>
      <c r="M66" s="3" t="s">
        <v>215</v>
      </c>
      <c r="N66" t="s">
        <v>308</v>
      </c>
    </row>
    <row r="67" spans="1:14" x14ac:dyDescent="0.35">
      <c r="A67" t="s">
        <v>132</v>
      </c>
      <c r="B67" t="s">
        <v>133</v>
      </c>
      <c r="C67" t="s">
        <v>144</v>
      </c>
      <c r="D67" t="str">
        <f t="shared" si="2"/>
        <v>Farrah Foust</v>
      </c>
      <c r="E67" t="s">
        <v>143</v>
      </c>
      <c r="F67" t="s">
        <v>9</v>
      </c>
      <c r="G67" t="s">
        <v>132</v>
      </c>
      <c r="H67" t="s">
        <v>91</v>
      </c>
      <c r="I67" t="s">
        <v>91</v>
      </c>
      <c r="J67" t="s">
        <v>139</v>
      </c>
      <c r="K67" t="str">
        <f t="shared" ref="K67:K105" si="4">LOWER(LEFT(TRIM(C67),1)&amp;TRIM(E67))</f>
        <v>ffoust</v>
      </c>
      <c r="L67" t="str">
        <f t="shared" si="3"/>
        <v>ffoust@grymca.org</v>
      </c>
      <c r="M67" s="3" t="s">
        <v>215</v>
      </c>
      <c r="N67" t="s">
        <v>309</v>
      </c>
    </row>
    <row r="68" spans="1:14" x14ac:dyDescent="0.35">
      <c r="A68" t="s">
        <v>132</v>
      </c>
      <c r="B68" t="s">
        <v>133</v>
      </c>
      <c r="C68" t="s">
        <v>121</v>
      </c>
      <c r="D68" t="str">
        <f t="shared" si="2"/>
        <v>Jennifer Jager</v>
      </c>
      <c r="E68" t="s">
        <v>145</v>
      </c>
      <c r="F68" t="s">
        <v>9</v>
      </c>
      <c r="G68" t="s">
        <v>132</v>
      </c>
      <c r="H68" t="s">
        <v>91</v>
      </c>
      <c r="I68" t="s">
        <v>91</v>
      </c>
      <c r="J68" t="s">
        <v>139</v>
      </c>
      <c r="K68" t="str">
        <f t="shared" si="4"/>
        <v>jjager</v>
      </c>
      <c r="L68" t="str">
        <f t="shared" ref="L68:L105" si="5">LOWER(LEFT(TRIM(C68),1)&amp;TRIM(E68)&amp;"@grymca.org")</f>
        <v>jjager@grymca.org</v>
      </c>
      <c r="M68" s="3" t="s">
        <v>215</v>
      </c>
      <c r="N68" t="s">
        <v>310</v>
      </c>
    </row>
    <row r="69" spans="1:14" x14ac:dyDescent="0.35">
      <c r="A69" t="s">
        <v>132</v>
      </c>
      <c r="B69" t="s">
        <v>133</v>
      </c>
      <c r="C69" t="s">
        <v>147</v>
      </c>
      <c r="D69" t="str">
        <f t="shared" si="2"/>
        <v>Kathleen Heemstra</v>
      </c>
      <c r="E69" t="s">
        <v>146</v>
      </c>
      <c r="F69" t="s">
        <v>9</v>
      </c>
      <c r="G69" t="s">
        <v>132</v>
      </c>
      <c r="H69" t="s">
        <v>91</v>
      </c>
      <c r="I69" t="s">
        <v>91</v>
      </c>
      <c r="J69" t="s">
        <v>139</v>
      </c>
      <c r="K69" t="str">
        <f t="shared" si="4"/>
        <v>kheemstra</v>
      </c>
      <c r="L69" t="str">
        <f t="shared" si="5"/>
        <v>kheemstra@grymca.org</v>
      </c>
      <c r="M69" s="3" t="s">
        <v>215</v>
      </c>
      <c r="N69" t="s">
        <v>311</v>
      </c>
    </row>
    <row r="70" spans="1:14" x14ac:dyDescent="0.35">
      <c r="A70" t="s">
        <v>132</v>
      </c>
      <c r="B70" t="s">
        <v>133</v>
      </c>
      <c r="C70" t="s">
        <v>149</v>
      </c>
      <c r="D70" t="str">
        <f t="shared" si="2"/>
        <v>Lauren Garcia</v>
      </c>
      <c r="E70" t="s">
        <v>148</v>
      </c>
      <c r="F70" t="s">
        <v>9</v>
      </c>
      <c r="G70" t="s">
        <v>132</v>
      </c>
      <c r="H70" t="s">
        <v>91</v>
      </c>
      <c r="I70" t="s">
        <v>91</v>
      </c>
      <c r="J70" t="s">
        <v>139</v>
      </c>
      <c r="K70" t="str">
        <f t="shared" si="4"/>
        <v>lgarcia</v>
      </c>
      <c r="L70" t="str">
        <f t="shared" si="5"/>
        <v>lgarcia@grymca.org</v>
      </c>
      <c r="M70" s="3" t="s">
        <v>215</v>
      </c>
      <c r="N70" t="s">
        <v>312</v>
      </c>
    </row>
    <row r="71" spans="1:14" x14ac:dyDescent="0.35">
      <c r="A71" t="s">
        <v>132</v>
      </c>
      <c r="B71" t="s">
        <v>133</v>
      </c>
      <c r="C71" t="s">
        <v>149</v>
      </c>
      <c r="D71" t="str">
        <f t="shared" si="2"/>
        <v>Lauren Rummells</v>
      </c>
      <c r="E71" t="s">
        <v>150</v>
      </c>
      <c r="F71" t="s">
        <v>9</v>
      </c>
      <c r="G71" t="s">
        <v>132</v>
      </c>
      <c r="H71" t="s">
        <v>91</v>
      </c>
      <c r="I71" t="s">
        <v>91</v>
      </c>
      <c r="J71" t="s">
        <v>139</v>
      </c>
      <c r="K71" t="str">
        <f t="shared" si="4"/>
        <v>lrummells</v>
      </c>
      <c r="L71" t="str">
        <f t="shared" si="5"/>
        <v>lrummells@grymca.org</v>
      </c>
      <c r="M71" s="3" t="s">
        <v>215</v>
      </c>
      <c r="N71" t="s">
        <v>313</v>
      </c>
    </row>
    <row r="72" spans="1:14" x14ac:dyDescent="0.35">
      <c r="A72" t="s">
        <v>132</v>
      </c>
      <c r="B72" t="s">
        <v>133</v>
      </c>
      <c r="C72" t="s">
        <v>152</v>
      </c>
      <c r="D72" t="str">
        <f t="shared" ref="D72:D105" si="6">C72&amp;" "&amp;E72</f>
        <v>Lindy Scripps</v>
      </c>
      <c r="E72" t="s">
        <v>151</v>
      </c>
      <c r="F72" t="s">
        <v>9</v>
      </c>
      <c r="G72" t="s">
        <v>132</v>
      </c>
      <c r="H72" t="s">
        <v>91</v>
      </c>
      <c r="I72" t="s">
        <v>91</v>
      </c>
      <c r="J72" t="s">
        <v>139</v>
      </c>
      <c r="K72" t="str">
        <f t="shared" si="4"/>
        <v>lscripps</v>
      </c>
      <c r="L72" t="str">
        <f t="shared" si="5"/>
        <v>lscripps@grymca.org</v>
      </c>
      <c r="M72" s="3" t="s">
        <v>215</v>
      </c>
      <c r="N72" t="s">
        <v>314</v>
      </c>
    </row>
    <row r="73" spans="1:14" x14ac:dyDescent="0.35">
      <c r="A73" t="s">
        <v>132</v>
      </c>
      <c r="B73" t="s">
        <v>133</v>
      </c>
      <c r="C73" t="s">
        <v>127</v>
      </c>
      <c r="D73" t="str">
        <f t="shared" si="6"/>
        <v>Monica Sanders</v>
      </c>
      <c r="E73" t="s">
        <v>126</v>
      </c>
      <c r="F73" t="s">
        <v>9</v>
      </c>
      <c r="G73" t="s">
        <v>132</v>
      </c>
      <c r="H73" t="s">
        <v>91</v>
      </c>
      <c r="I73" t="s">
        <v>91</v>
      </c>
      <c r="J73" t="s">
        <v>139</v>
      </c>
      <c r="K73" t="str">
        <f t="shared" si="4"/>
        <v>msanders</v>
      </c>
      <c r="L73" t="str">
        <f t="shared" si="5"/>
        <v>msanders@grymca.org</v>
      </c>
      <c r="M73" s="3" t="s">
        <v>215</v>
      </c>
      <c r="N73" t="s">
        <v>315</v>
      </c>
    </row>
    <row r="74" spans="1:14" x14ac:dyDescent="0.35">
      <c r="A74" t="s">
        <v>132</v>
      </c>
      <c r="B74" t="s">
        <v>133</v>
      </c>
      <c r="C74" t="s">
        <v>154</v>
      </c>
      <c r="D74" t="str">
        <f t="shared" si="6"/>
        <v>Malinda Lugbill</v>
      </c>
      <c r="E74" t="s">
        <v>153</v>
      </c>
      <c r="F74" t="s">
        <v>9</v>
      </c>
      <c r="G74" t="s">
        <v>132</v>
      </c>
      <c r="H74" t="s">
        <v>91</v>
      </c>
      <c r="I74" t="s">
        <v>91</v>
      </c>
      <c r="J74" t="s">
        <v>139</v>
      </c>
      <c r="K74" t="str">
        <f t="shared" si="4"/>
        <v>mlugbill</v>
      </c>
      <c r="L74" t="str">
        <f t="shared" si="5"/>
        <v>mlugbill@grymca.org</v>
      </c>
      <c r="M74" s="3" t="s">
        <v>215</v>
      </c>
      <c r="N74" t="s">
        <v>316</v>
      </c>
    </row>
    <row r="75" spans="1:14" x14ac:dyDescent="0.35">
      <c r="A75" t="s">
        <v>132</v>
      </c>
      <c r="B75" t="s">
        <v>133</v>
      </c>
      <c r="C75" t="s">
        <v>155</v>
      </c>
      <c r="D75" t="str">
        <f t="shared" si="6"/>
        <v>Molly Smith</v>
      </c>
      <c r="E75" t="s">
        <v>142</v>
      </c>
      <c r="F75" t="s">
        <v>9</v>
      </c>
      <c r="G75" t="s">
        <v>132</v>
      </c>
      <c r="H75" t="s">
        <v>91</v>
      </c>
      <c r="I75" t="s">
        <v>91</v>
      </c>
      <c r="J75" t="s">
        <v>139</v>
      </c>
      <c r="K75" t="str">
        <f t="shared" si="4"/>
        <v>msmith</v>
      </c>
      <c r="L75" t="str">
        <f t="shared" si="5"/>
        <v>msmith@grymca.org</v>
      </c>
      <c r="M75" s="3" t="s">
        <v>215</v>
      </c>
      <c r="N75" t="s">
        <v>317</v>
      </c>
    </row>
    <row r="76" spans="1:14" x14ac:dyDescent="0.35">
      <c r="A76" t="s">
        <v>132</v>
      </c>
      <c r="B76" t="s">
        <v>133</v>
      </c>
      <c r="C76" t="s">
        <v>156</v>
      </c>
      <c r="D76" t="str">
        <f t="shared" si="6"/>
        <v>Natalie Themins-Maj</v>
      </c>
      <c r="E76" t="s">
        <v>157</v>
      </c>
      <c r="F76" t="s">
        <v>9</v>
      </c>
      <c r="G76" t="s">
        <v>132</v>
      </c>
      <c r="H76" t="s">
        <v>91</v>
      </c>
      <c r="I76" t="s">
        <v>91</v>
      </c>
      <c r="J76" t="s">
        <v>139</v>
      </c>
      <c r="K76" t="str">
        <f t="shared" si="4"/>
        <v>nthemins-maj</v>
      </c>
      <c r="L76" t="str">
        <f t="shared" si="5"/>
        <v>nthemins-maj@grymca.org</v>
      </c>
      <c r="M76" s="3" t="s">
        <v>215</v>
      </c>
      <c r="N76" t="s">
        <v>318</v>
      </c>
    </row>
    <row r="77" spans="1:14" x14ac:dyDescent="0.35">
      <c r="A77" t="s">
        <v>132</v>
      </c>
      <c r="B77" t="s">
        <v>133</v>
      </c>
      <c r="C77" t="s">
        <v>159</v>
      </c>
      <c r="D77" t="str">
        <f t="shared" si="6"/>
        <v>Rochelle Kuyper</v>
      </c>
      <c r="E77" t="s">
        <v>158</v>
      </c>
      <c r="F77" t="s">
        <v>9</v>
      </c>
      <c r="G77" t="s">
        <v>132</v>
      </c>
      <c r="H77" t="s">
        <v>91</v>
      </c>
      <c r="I77" t="s">
        <v>91</v>
      </c>
      <c r="J77" t="s">
        <v>139</v>
      </c>
      <c r="K77" t="str">
        <f t="shared" si="4"/>
        <v>rkuyper</v>
      </c>
      <c r="L77" t="str">
        <f t="shared" si="5"/>
        <v>rkuyper@grymca.org</v>
      </c>
      <c r="M77" s="3" t="s">
        <v>215</v>
      </c>
      <c r="N77" t="s">
        <v>319</v>
      </c>
    </row>
    <row r="78" spans="1:14" x14ac:dyDescent="0.35">
      <c r="A78" t="s">
        <v>132</v>
      </c>
      <c r="B78" t="s">
        <v>133</v>
      </c>
      <c r="C78" t="s">
        <v>229</v>
      </c>
      <c r="D78" t="s">
        <v>230</v>
      </c>
      <c r="E78" t="s">
        <v>160</v>
      </c>
      <c r="F78" t="s">
        <v>9</v>
      </c>
      <c r="G78" t="s">
        <v>132</v>
      </c>
      <c r="H78" t="s">
        <v>91</v>
      </c>
      <c r="I78" t="s">
        <v>91</v>
      </c>
      <c r="J78" t="s">
        <v>139</v>
      </c>
      <c r="K78" t="str">
        <f t="shared" si="4"/>
        <v>tboersma</v>
      </c>
      <c r="L78" t="str">
        <f t="shared" si="5"/>
        <v>tboersma@grymca.org</v>
      </c>
      <c r="M78" s="3" t="s">
        <v>215</v>
      </c>
      <c r="N78" t="s">
        <v>320</v>
      </c>
    </row>
    <row r="79" spans="1:14" x14ac:dyDescent="0.35">
      <c r="A79" t="s">
        <v>132</v>
      </c>
      <c r="B79" t="s">
        <v>133</v>
      </c>
      <c r="C79" t="s">
        <v>231</v>
      </c>
      <c r="D79" t="s">
        <v>232</v>
      </c>
      <c r="E79" t="s">
        <v>161</v>
      </c>
      <c r="F79" t="s">
        <v>9</v>
      </c>
      <c r="G79" t="s">
        <v>132</v>
      </c>
      <c r="H79" t="s">
        <v>91</v>
      </c>
      <c r="I79" t="s">
        <v>91</v>
      </c>
      <c r="J79" t="s">
        <v>139</v>
      </c>
      <c r="K79" t="str">
        <f t="shared" si="4"/>
        <v>astavrou</v>
      </c>
      <c r="L79" t="str">
        <f t="shared" si="5"/>
        <v>astavrou@grymca.org</v>
      </c>
      <c r="M79" s="3" t="s">
        <v>215</v>
      </c>
      <c r="N79" t="s">
        <v>321</v>
      </c>
    </row>
    <row r="80" spans="1:14" x14ac:dyDescent="0.35">
      <c r="A80" t="s">
        <v>169</v>
      </c>
      <c r="B80" t="s">
        <v>170</v>
      </c>
      <c r="C80" t="s">
        <v>116</v>
      </c>
      <c r="D80" t="str">
        <f t="shared" si="6"/>
        <v>Kelly Shepherd</v>
      </c>
      <c r="E80" t="s">
        <v>162</v>
      </c>
      <c r="F80" t="s">
        <v>9</v>
      </c>
      <c r="G80" t="s">
        <v>169</v>
      </c>
      <c r="H80" t="s">
        <v>91</v>
      </c>
      <c r="I80" t="s">
        <v>91</v>
      </c>
      <c r="J80" t="s">
        <v>171</v>
      </c>
      <c r="K80" t="str">
        <f t="shared" si="4"/>
        <v>kshepherd</v>
      </c>
      <c r="L80" t="str">
        <f t="shared" si="5"/>
        <v>kshepherd@grymca.org</v>
      </c>
      <c r="M80" s="3" t="s">
        <v>216</v>
      </c>
      <c r="N80" t="s">
        <v>322</v>
      </c>
    </row>
    <row r="81" spans="1:14" x14ac:dyDescent="0.35">
      <c r="A81" t="s">
        <v>169</v>
      </c>
      <c r="B81" t="s">
        <v>170</v>
      </c>
      <c r="C81" t="s">
        <v>233</v>
      </c>
      <c r="D81" t="s">
        <v>234</v>
      </c>
      <c r="E81" t="s">
        <v>163</v>
      </c>
      <c r="F81" t="s">
        <v>9</v>
      </c>
      <c r="G81" t="s">
        <v>169</v>
      </c>
      <c r="H81" t="s">
        <v>91</v>
      </c>
      <c r="I81" t="s">
        <v>91</v>
      </c>
      <c r="J81" t="s">
        <v>171</v>
      </c>
      <c r="K81" t="str">
        <f t="shared" si="4"/>
        <v>kfrejeris</v>
      </c>
      <c r="L81" t="str">
        <f t="shared" si="5"/>
        <v>kfrejeris@grymca.org</v>
      </c>
      <c r="M81" s="3" t="s">
        <v>216</v>
      </c>
      <c r="N81" t="s">
        <v>323</v>
      </c>
    </row>
    <row r="82" spans="1:14" x14ac:dyDescent="0.35">
      <c r="A82" t="s">
        <v>169</v>
      </c>
      <c r="B82" t="s">
        <v>170</v>
      </c>
      <c r="C82" t="s">
        <v>233</v>
      </c>
      <c r="D82" t="s">
        <v>235</v>
      </c>
      <c r="E82" t="s">
        <v>164</v>
      </c>
      <c r="F82" t="s">
        <v>9</v>
      </c>
      <c r="G82" t="s">
        <v>169</v>
      </c>
      <c r="H82" t="s">
        <v>91</v>
      </c>
      <c r="I82" t="s">
        <v>91</v>
      </c>
      <c r="J82" t="s">
        <v>171</v>
      </c>
      <c r="K82" t="str">
        <f t="shared" si="4"/>
        <v>kpostema</v>
      </c>
      <c r="L82" t="str">
        <f t="shared" si="5"/>
        <v>kpostema@grymca.org</v>
      </c>
      <c r="M82" s="3" t="s">
        <v>216</v>
      </c>
      <c r="N82" t="s">
        <v>324</v>
      </c>
    </row>
    <row r="83" spans="1:14" x14ac:dyDescent="0.35">
      <c r="A83" t="s">
        <v>169</v>
      </c>
      <c r="B83" t="s">
        <v>170</v>
      </c>
      <c r="C83" t="s">
        <v>166</v>
      </c>
      <c r="D83" t="str">
        <f t="shared" si="6"/>
        <v>Shannon Carlton</v>
      </c>
      <c r="E83" t="s">
        <v>165</v>
      </c>
      <c r="F83" t="s">
        <v>9</v>
      </c>
      <c r="G83" t="s">
        <v>169</v>
      </c>
      <c r="H83" t="s">
        <v>91</v>
      </c>
      <c r="I83" t="s">
        <v>91</v>
      </c>
      <c r="J83" t="s">
        <v>171</v>
      </c>
      <c r="K83" t="str">
        <f t="shared" si="4"/>
        <v>scarlton</v>
      </c>
      <c r="L83" t="str">
        <f t="shared" si="5"/>
        <v>scarlton@grymca.org</v>
      </c>
      <c r="M83" s="3" t="s">
        <v>216</v>
      </c>
      <c r="N83" t="s">
        <v>325</v>
      </c>
    </row>
    <row r="84" spans="1:14" ht="17.25" customHeight="1" x14ac:dyDescent="0.35">
      <c r="A84" t="s">
        <v>169</v>
      </c>
      <c r="B84" t="s">
        <v>170</v>
      </c>
      <c r="C84" t="s">
        <v>168</v>
      </c>
      <c r="D84" t="s">
        <v>236</v>
      </c>
      <c r="E84" t="s">
        <v>167</v>
      </c>
      <c r="F84" t="s">
        <v>9</v>
      </c>
      <c r="G84" t="s">
        <v>169</v>
      </c>
      <c r="H84" t="s">
        <v>91</v>
      </c>
      <c r="I84" t="s">
        <v>91</v>
      </c>
      <c r="J84" t="s">
        <v>171</v>
      </c>
      <c r="K84" t="str">
        <f t="shared" si="4"/>
        <v>tfuller</v>
      </c>
      <c r="L84" s="4" t="s">
        <v>362</v>
      </c>
      <c r="M84" s="3" t="s">
        <v>216</v>
      </c>
      <c r="N84" t="s">
        <v>326</v>
      </c>
    </row>
    <row r="85" spans="1:14" x14ac:dyDescent="0.35">
      <c r="A85" t="s">
        <v>172</v>
      </c>
      <c r="B85" t="s">
        <v>173</v>
      </c>
      <c r="C85" t="s">
        <v>237</v>
      </c>
      <c r="D85" t="s">
        <v>238</v>
      </c>
      <c r="E85" t="s">
        <v>174</v>
      </c>
      <c r="F85" t="s">
        <v>9</v>
      </c>
      <c r="G85" t="s">
        <v>172</v>
      </c>
      <c r="H85" t="s">
        <v>175</v>
      </c>
      <c r="I85" t="s">
        <v>175</v>
      </c>
      <c r="J85" t="s">
        <v>181</v>
      </c>
      <c r="K85" t="str">
        <f t="shared" si="4"/>
        <v>kbenson</v>
      </c>
      <c r="L85" t="str">
        <f t="shared" si="5"/>
        <v>kbenson@grymca.org</v>
      </c>
      <c r="M85" s="3" t="s">
        <v>217</v>
      </c>
      <c r="N85" t="s">
        <v>327</v>
      </c>
    </row>
    <row r="86" spans="1:14" ht="16" x14ac:dyDescent="0.4">
      <c r="A86" t="s">
        <v>172</v>
      </c>
      <c r="B86" t="s">
        <v>173</v>
      </c>
      <c r="C86" t="s">
        <v>239</v>
      </c>
      <c r="D86" t="s">
        <v>240</v>
      </c>
      <c r="E86" s="1" t="s">
        <v>241</v>
      </c>
      <c r="F86" t="s">
        <v>9</v>
      </c>
      <c r="G86" t="s">
        <v>172</v>
      </c>
      <c r="H86" t="s">
        <v>175</v>
      </c>
      <c r="I86" t="s">
        <v>175</v>
      </c>
      <c r="J86" t="s">
        <v>181</v>
      </c>
      <c r="K86" t="str">
        <f t="shared" si="4"/>
        <v>cduval</v>
      </c>
      <c r="L86" t="str">
        <f t="shared" si="5"/>
        <v>cduval@grymca.org</v>
      </c>
      <c r="M86" s="3" t="s">
        <v>217</v>
      </c>
      <c r="N86" t="s">
        <v>328</v>
      </c>
    </row>
    <row r="87" spans="1:14" ht="16" x14ac:dyDescent="0.4">
      <c r="A87" t="s">
        <v>172</v>
      </c>
      <c r="B87" t="s">
        <v>173</v>
      </c>
      <c r="C87" t="s">
        <v>176</v>
      </c>
      <c r="D87" t="str">
        <f t="shared" si="6"/>
        <v>Sherry Fik</v>
      </c>
      <c r="E87" s="1" t="s">
        <v>177</v>
      </c>
      <c r="F87" t="s">
        <v>9</v>
      </c>
      <c r="G87" t="s">
        <v>172</v>
      </c>
      <c r="H87" t="s">
        <v>175</v>
      </c>
      <c r="I87" t="s">
        <v>175</v>
      </c>
      <c r="J87" t="s">
        <v>181</v>
      </c>
      <c r="K87" t="str">
        <f t="shared" si="4"/>
        <v>sfik</v>
      </c>
      <c r="L87" t="str">
        <f t="shared" si="5"/>
        <v>sfik@grymca.org</v>
      </c>
      <c r="M87" s="3" t="s">
        <v>217</v>
      </c>
      <c r="N87" t="s">
        <v>329</v>
      </c>
    </row>
    <row r="88" spans="1:14" ht="16" x14ac:dyDescent="0.4">
      <c r="A88" t="s">
        <v>172</v>
      </c>
      <c r="B88" t="s">
        <v>173</v>
      </c>
      <c r="C88" t="s">
        <v>242</v>
      </c>
      <c r="D88" t="s">
        <v>243</v>
      </c>
      <c r="E88" s="1" t="s">
        <v>178</v>
      </c>
      <c r="F88" t="s">
        <v>9</v>
      </c>
      <c r="G88" t="s">
        <v>172</v>
      </c>
      <c r="H88" t="s">
        <v>175</v>
      </c>
      <c r="I88" t="s">
        <v>175</v>
      </c>
      <c r="J88" t="s">
        <v>181</v>
      </c>
      <c r="K88" t="str">
        <f t="shared" si="4"/>
        <v>sgortsema</v>
      </c>
      <c r="L88" t="str">
        <f t="shared" si="5"/>
        <v>sgortsema@grymca.org</v>
      </c>
      <c r="M88" s="3" t="s">
        <v>217</v>
      </c>
      <c r="N88" t="s">
        <v>330</v>
      </c>
    </row>
    <row r="89" spans="1:14" ht="16" x14ac:dyDescent="0.4">
      <c r="A89" t="s">
        <v>172</v>
      </c>
      <c r="B89" t="s">
        <v>173</v>
      </c>
      <c r="C89" t="s">
        <v>179</v>
      </c>
      <c r="D89" t="str">
        <f t="shared" si="6"/>
        <v>Elizabeth Hager</v>
      </c>
      <c r="E89" s="1" t="s">
        <v>180</v>
      </c>
      <c r="F89" t="s">
        <v>9</v>
      </c>
      <c r="G89" t="s">
        <v>172</v>
      </c>
      <c r="H89" t="s">
        <v>175</v>
      </c>
      <c r="I89" t="s">
        <v>175</v>
      </c>
      <c r="J89" t="s">
        <v>181</v>
      </c>
      <c r="K89" t="str">
        <f t="shared" si="4"/>
        <v>ehager</v>
      </c>
      <c r="L89" t="str">
        <f t="shared" si="5"/>
        <v>ehager@grymca.org</v>
      </c>
      <c r="M89" s="3" t="s">
        <v>217</v>
      </c>
      <c r="N89" t="s">
        <v>331</v>
      </c>
    </row>
    <row r="90" spans="1:14" ht="16" x14ac:dyDescent="0.4">
      <c r="A90" t="s">
        <v>172</v>
      </c>
      <c r="B90" t="s">
        <v>173</v>
      </c>
      <c r="C90" t="s">
        <v>114</v>
      </c>
      <c r="D90" t="str">
        <f t="shared" si="6"/>
        <v>Angie Karsten</v>
      </c>
      <c r="E90" s="1" t="s">
        <v>182</v>
      </c>
      <c r="F90" t="s">
        <v>9</v>
      </c>
      <c r="G90" t="s">
        <v>172</v>
      </c>
      <c r="H90" t="s">
        <v>175</v>
      </c>
      <c r="I90" t="s">
        <v>175</v>
      </c>
      <c r="J90" t="s">
        <v>181</v>
      </c>
      <c r="K90" t="str">
        <f t="shared" si="4"/>
        <v>akarsten</v>
      </c>
      <c r="L90" t="str">
        <f t="shared" si="5"/>
        <v>akarsten@grymca.org</v>
      </c>
      <c r="M90" s="3" t="s">
        <v>217</v>
      </c>
      <c r="N90" t="s">
        <v>332</v>
      </c>
    </row>
    <row r="91" spans="1:14" ht="16" x14ac:dyDescent="0.4">
      <c r="A91" t="s">
        <v>172</v>
      </c>
      <c r="B91" t="s">
        <v>173</v>
      </c>
      <c r="C91" t="s">
        <v>183</v>
      </c>
      <c r="D91" t="str">
        <f t="shared" si="6"/>
        <v>Danielle Kfoury</v>
      </c>
      <c r="E91" s="1" t="s">
        <v>184</v>
      </c>
      <c r="F91" t="s">
        <v>9</v>
      </c>
      <c r="G91" t="s">
        <v>172</v>
      </c>
      <c r="H91" t="s">
        <v>175</v>
      </c>
      <c r="I91" t="s">
        <v>175</v>
      </c>
      <c r="J91" t="s">
        <v>181</v>
      </c>
      <c r="K91" t="str">
        <f t="shared" si="4"/>
        <v>dkfoury</v>
      </c>
      <c r="L91" t="str">
        <f t="shared" si="5"/>
        <v>dkfoury@grymca.org</v>
      </c>
      <c r="M91" s="3" t="s">
        <v>217</v>
      </c>
      <c r="N91" t="s">
        <v>333</v>
      </c>
    </row>
    <row r="92" spans="1:14" ht="16" x14ac:dyDescent="0.4">
      <c r="A92" t="s">
        <v>172</v>
      </c>
      <c r="B92" t="s">
        <v>173</v>
      </c>
      <c r="C92" t="s">
        <v>185</v>
      </c>
      <c r="D92" t="str">
        <f t="shared" si="6"/>
        <v>Carrie Kraker</v>
      </c>
      <c r="E92" s="1" t="s">
        <v>186</v>
      </c>
      <c r="F92" t="s">
        <v>9</v>
      </c>
      <c r="G92" t="s">
        <v>172</v>
      </c>
      <c r="H92" t="s">
        <v>175</v>
      </c>
      <c r="I92" t="s">
        <v>175</v>
      </c>
      <c r="J92" t="s">
        <v>181</v>
      </c>
      <c r="K92" t="str">
        <f t="shared" si="4"/>
        <v>ckraker</v>
      </c>
      <c r="L92" t="str">
        <f t="shared" si="5"/>
        <v>ckraker@grymca.org</v>
      </c>
      <c r="M92" s="3" t="s">
        <v>217</v>
      </c>
      <c r="N92" t="s">
        <v>334</v>
      </c>
    </row>
    <row r="93" spans="1:14" ht="16" x14ac:dyDescent="0.4">
      <c r="A93" t="s">
        <v>172</v>
      </c>
      <c r="B93" t="s">
        <v>173</v>
      </c>
      <c r="C93" t="s">
        <v>244</v>
      </c>
      <c r="D93" t="s">
        <v>245</v>
      </c>
      <c r="E93" s="1" t="s">
        <v>187</v>
      </c>
      <c r="F93" t="s">
        <v>9</v>
      </c>
      <c r="G93" t="s">
        <v>172</v>
      </c>
      <c r="H93" t="s">
        <v>175</v>
      </c>
      <c r="I93" t="s">
        <v>175</v>
      </c>
      <c r="J93" t="s">
        <v>181</v>
      </c>
      <c r="K93" t="str">
        <f t="shared" si="4"/>
        <v>potto</v>
      </c>
      <c r="L93" t="str">
        <f t="shared" si="5"/>
        <v>potto@grymca.org</v>
      </c>
      <c r="M93" s="3" t="s">
        <v>217</v>
      </c>
      <c r="N93" t="s">
        <v>335</v>
      </c>
    </row>
    <row r="94" spans="1:14" ht="16" x14ac:dyDescent="0.4">
      <c r="A94" t="s">
        <v>172</v>
      </c>
      <c r="B94" t="s">
        <v>173</v>
      </c>
      <c r="C94" t="s">
        <v>188</v>
      </c>
      <c r="D94" t="str">
        <f t="shared" si="6"/>
        <v>Marie Rickard</v>
      </c>
      <c r="E94" s="1" t="s">
        <v>189</v>
      </c>
      <c r="F94" t="s">
        <v>9</v>
      </c>
      <c r="G94" t="s">
        <v>172</v>
      </c>
      <c r="H94" t="s">
        <v>175</v>
      </c>
      <c r="I94" t="s">
        <v>175</v>
      </c>
      <c r="J94" t="s">
        <v>181</v>
      </c>
      <c r="K94" t="str">
        <f t="shared" si="4"/>
        <v>mrickard</v>
      </c>
      <c r="L94" t="str">
        <f t="shared" si="5"/>
        <v>mrickard@grymca.org</v>
      </c>
      <c r="M94" s="3" t="s">
        <v>217</v>
      </c>
      <c r="N94" t="s">
        <v>336</v>
      </c>
    </row>
    <row r="95" spans="1:14" ht="16" x14ac:dyDescent="0.4">
      <c r="A95" t="s">
        <v>172</v>
      </c>
      <c r="B95" t="s">
        <v>173</v>
      </c>
      <c r="C95" t="s">
        <v>56</v>
      </c>
      <c r="D95" t="str">
        <f t="shared" si="6"/>
        <v>Kati Simmons</v>
      </c>
      <c r="E95" s="1" t="s">
        <v>190</v>
      </c>
      <c r="F95" t="s">
        <v>9</v>
      </c>
      <c r="G95" t="s">
        <v>172</v>
      </c>
      <c r="H95" t="s">
        <v>175</v>
      </c>
      <c r="I95" t="s">
        <v>175</v>
      </c>
      <c r="J95" t="s">
        <v>181</v>
      </c>
      <c r="K95" t="str">
        <f t="shared" si="4"/>
        <v>ksimmons</v>
      </c>
      <c r="L95" t="str">
        <f t="shared" si="5"/>
        <v>ksimmons@grymca.org</v>
      </c>
      <c r="M95" s="3" t="s">
        <v>217</v>
      </c>
      <c r="N95" t="s">
        <v>337</v>
      </c>
    </row>
    <row r="96" spans="1:14" ht="16" x14ac:dyDescent="0.4">
      <c r="A96" t="s">
        <v>172</v>
      </c>
      <c r="B96" t="s">
        <v>173</v>
      </c>
      <c r="C96" t="s">
        <v>121</v>
      </c>
      <c r="D96" t="s">
        <v>246</v>
      </c>
      <c r="E96" s="1" t="s">
        <v>191</v>
      </c>
      <c r="F96" t="s">
        <v>9</v>
      </c>
      <c r="G96" t="s">
        <v>172</v>
      </c>
      <c r="H96" t="s">
        <v>175</v>
      </c>
      <c r="I96" t="s">
        <v>175</v>
      </c>
      <c r="J96" t="s">
        <v>181</v>
      </c>
      <c r="K96" t="str">
        <f t="shared" si="4"/>
        <v>jsteketee</v>
      </c>
      <c r="L96" t="str">
        <f t="shared" si="5"/>
        <v>jsteketee@grymca.org</v>
      </c>
      <c r="M96" s="3" t="s">
        <v>217</v>
      </c>
      <c r="N96" t="s">
        <v>338</v>
      </c>
    </row>
    <row r="97" spans="1:14" ht="16" x14ac:dyDescent="0.4">
      <c r="A97" t="s">
        <v>172</v>
      </c>
      <c r="B97" t="s">
        <v>173</v>
      </c>
      <c r="C97" t="s">
        <v>247</v>
      </c>
      <c r="D97" t="str">
        <f t="shared" si="6"/>
        <v>Nichole Chandler</v>
      </c>
      <c r="E97" s="1" t="s">
        <v>192</v>
      </c>
      <c r="F97" t="s">
        <v>9</v>
      </c>
      <c r="G97" t="s">
        <v>172</v>
      </c>
      <c r="H97" t="s">
        <v>175</v>
      </c>
      <c r="I97" t="s">
        <v>175</v>
      </c>
      <c r="J97" t="s">
        <v>181</v>
      </c>
      <c r="K97" t="str">
        <f t="shared" si="4"/>
        <v>nchandler</v>
      </c>
      <c r="L97" t="str">
        <f t="shared" si="5"/>
        <v>nchandler@grymca.org</v>
      </c>
      <c r="M97" s="3" t="s">
        <v>217</v>
      </c>
      <c r="N97" t="s">
        <v>339</v>
      </c>
    </row>
    <row r="98" spans="1:14" ht="16" x14ac:dyDescent="0.4">
      <c r="A98" t="s">
        <v>172</v>
      </c>
      <c r="B98" t="s">
        <v>173</v>
      </c>
      <c r="C98" s="1" t="s">
        <v>119</v>
      </c>
      <c r="D98" t="str">
        <f t="shared" si="6"/>
        <v>Stephanie Gizzi-Farrell</v>
      </c>
      <c r="E98" s="1" t="s">
        <v>193</v>
      </c>
      <c r="F98" t="s">
        <v>9</v>
      </c>
      <c r="G98" t="s">
        <v>172</v>
      </c>
      <c r="H98" t="s">
        <v>175</v>
      </c>
      <c r="I98" t="s">
        <v>175</v>
      </c>
      <c r="J98" t="s">
        <v>181</v>
      </c>
      <c r="K98" t="str">
        <f t="shared" si="4"/>
        <v>sgizzi-farrell</v>
      </c>
      <c r="L98" t="str">
        <f t="shared" si="5"/>
        <v>sgizzi-farrell@grymca.org</v>
      </c>
      <c r="M98" s="3" t="s">
        <v>217</v>
      </c>
      <c r="N98" t="s">
        <v>340</v>
      </c>
    </row>
    <row r="99" spans="1:14" ht="16" x14ac:dyDescent="0.4">
      <c r="A99" t="s">
        <v>172</v>
      </c>
      <c r="B99" t="s">
        <v>173</v>
      </c>
      <c r="C99" t="s">
        <v>194</v>
      </c>
      <c r="D99" t="str">
        <f t="shared" si="6"/>
        <v>Jessica Gladden</v>
      </c>
      <c r="E99" s="1" t="s">
        <v>195</v>
      </c>
      <c r="F99" t="s">
        <v>9</v>
      </c>
      <c r="G99" t="s">
        <v>172</v>
      </c>
      <c r="H99" t="s">
        <v>175</v>
      </c>
      <c r="I99" t="s">
        <v>175</v>
      </c>
      <c r="J99" t="s">
        <v>181</v>
      </c>
      <c r="K99" t="str">
        <f t="shared" si="4"/>
        <v>jgladden</v>
      </c>
      <c r="L99" t="str">
        <f t="shared" si="5"/>
        <v>jgladden@grymca.org</v>
      </c>
      <c r="M99" s="3" t="s">
        <v>217</v>
      </c>
      <c r="N99" t="s">
        <v>341</v>
      </c>
    </row>
    <row r="100" spans="1:14" ht="16" x14ac:dyDescent="0.4">
      <c r="A100" t="s">
        <v>172</v>
      </c>
      <c r="B100" t="s">
        <v>173</v>
      </c>
      <c r="C100" t="s">
        <v>196</v>
      </c>
      <c r="D100" t="str">
        <f t="shared" si="6"/>
        <v>Peggy Haberman</v>
      </c>
      <c r="E100" s="1" t="s">
        <v>197</v>
      </c>
      <c r="F100" t="s">
        <v>9</v>
      </c>
      <c r="G100" t="s">
        <v>172</v>
      </c>
      <c r="H100" t="s">
        <v>175</v>
      </c>
      <c r="I100" t="s">
        <v>175</v>
      </c>
      <c r="J100" t="s">
        <v>181</v>
      </c>
      <c r="K100" t="str">
        <f t="shared" si="4"/>
        <v>phaberman</v>
      </c>
      <c r="L100" t="str">
        <f t="shared" si="5"/>
        <v>phaberman@grymca.org</v>
      </c>
      <c r="M100" s="3" t="s">
        <v>217</v>
      </c>
      <c r="N100" t="s">
        <v>342</v>
      </c>
    </row>
    <row r="101" spans="1:14" ht="16" x14ac:dyDescent="0.4">
      <c r="A101" t="s">
        <v>172</v>
      </c>
      <c r="B101" t="s">
        <v>173</v>
      </c>
      <c r="C101" t="s">
        <v>198</v>
      </c>
      <c r="D101" t="str">
        <f t="shared" si="6"/>
        <v>Kathie Heberly</v>
      </c>
      <c r="E101" s="1" t="s">
        <v>199</v>
      </c>
      <c r="F101" t="s">
        <v>9</v>
      </c>
      <c r="G101" t="s">
        <v>172</v>
      </c>
      <c r="H101" t="s">
        <v>175</v>
      </c>
      <c r="I101" t="s">
        <v>175</v>
      </c>
      <c r="J101" t="s">
        <v>181</v>
      </c>
      <c r="K101" t="str">
        <f t="shared" si="4"/>
        <v>kheberly</v>
      </c>
      <c r="L101" t="str">
        <f t="shared" si="5"/>
        <v>kheberly@grymca.org</v>
      </c>
      <c r="M101" s="3" t="s">
        <v>217</v>
      </c>
      <c r="N101" t="s">
        <v>343</v>
      </c>
    </row>
    <row r="102" spans="1:14" ht="17.25" customHeight="1" x14ac:dyDescent="0.4">
      <c r="A102" t="s">
        <v>172</v>
      </c>
      <c r="B102" t="s">
        <v>173</v>
      </c>
      <c r="C102" t="s">
        <v>200</v>
      </c>
      <c r="D102" t="str">
        <f t="shared" si="6"/>
        <v>Derek Schaaf</v>
      </c>
      <c r="E102" s="1" t="s">
        <v>201</v>
      </c>
      <c r="F102" t="s">
        <v>9</v>
      </c>
      <c r="G102" t="s">
        <v>172</v>
      </c>
      <c r="H102" t="s">
        <v>175</v>
      </c>
      <c r="I102" t="s">
        <v>175</v>
      </c>
      <c r="J102" t="s">
        <v>181</v>
      </c>
      <c r="K102" t="str">
        <f t="shared" si="4"/>
        <v>dschaaf</v>
      </c>
      <c r="L102" t="str">
        <f t="shared" si="5"/>
        <v>dschaaf@grymca.org</v>
      </c>
      <c r="M102" s="3" t="s">
        <v>217</v>
      </c>
      <c r="N102" t="s">
        <v>344</v>
      </c>
    </row>
    <row r="103" spans="1:14" ht="18.75" customHeight="1" x14ac:dyDescent="0.4">
      <c r="A103" t="s">
        <v>172</v>
      </c>
      <c r="B103" t="s">
        <v>173</v>
      </c>
      <c r="C103" t="s">
        <v>202</v>
      </c>
      <c r="D103" t="str">
        <f t="shared" si="6"/>
        <v>Racee Warner</v>
      </c>
      <c r="E103" s="1" t="s">
        <v>203</v>
      </c>
      <c r="F103" t="s">
        <v>9</v>
      </c>
      <c r="G103" t="s">
        <v>172</v>
      </c>
      <c r="H103" t="s">
        <v>175</v>
      </c>
      <c r="I103" t="s">
        <v>175</v>
      </c>
      <c r="J103" t="s">
        <v>181</v>
      </c>
      <c r="K103" t="str">
        <f t="shared" si="4"/>
        <v>rwarner</v>
      </c>
      <c r="L103" t="str">
        <f t="shared" si="5"/>
        <v>rwarner@grymca.org</v>
      </c>
      <c r="M103" s="3" t="s">
        <v>217</v>
      </c>
      <c r="N103" t="s">
        <v>345</v>
      </c>
    </row>
    <row r="104" spans="1:14" ht="16.5" customHeight="1" x14ac:dyDescent="0.4">
      <c r="A104" t="s">
        <v>172</v>
      </c>
      <c r="B104" t="s">
        <v>173</v>
      </c>
      <c r="C104" t="s">
        <v>204</v>
      </c>
      <c r="D104" t="str">
        <f t="shared" si="6"/>
        <v>Nancy Wax</v>
      </c>
      <c r="E104" s="1" t="s">
        <v>205</v>
      </c>
      <c r="F104" t="s">
        <v>9</v>
      </c>
      <c r="G104" t="s">
        <v>172</v>
      </c>
      <c r="H104" t="s">
        <v>175</v>
      </c>
      <c r="I104" t="s">
        <v>175</v>
      </c>
      <c r="J104" t="s">
        <v>181</v>
      </c>
      <c r="K104" t="str">
        <f t="shared" si="4"/>
        <v>nwax</v>
      </c>
      <c r="L104" t="str">
        <f t="shared" si="5"/>
        <v>nwax@grymca.org</v>
      </c>
      <c r="M104" s="3" t="s">
        <v>217</v>
      </c>
      <c r="N104" t="s">
        <v>346</v>
      </c>
    </row>
    <row r="105" spans="1:14" ht="19.5" customHeight="1" x14ac:dyDescent="0.4">
      <c r="A105" t="s">
        <v>172</v>
      </c>
      <c r="B105" t="s">
        <v>173</v>
      </c>
      <c r="C105" t="s">
        <v>206</v>
      </c>
      <c r="D105" t="str">
        <f t="shared" si="6"/>
        <v>Lily Wilson</v>
      </c>
      <c r="E105" s="1" t="s">
        <v>65</v>
      </c>
      <c r="F105" t="s">
        <v>9</v>
      </c>
      <c r="G105" t="s">
        <v>172</v>
      </c>
      <c r="H105" t="s">
        <v>175</v>
      </c>
      <c r="I105" t="s">
        <v>175</v>
      </c>
      <c r="J105" t="s">
        <v>181</v>
      </c>
      <c r="K105" t="str">
        <f t="shared" si="4"/>
        <v>lwilson</v>
      </c>
      <c r="L105" t="str">
        <f t="shared" si="5"/>
        <v>lwilson@grymca.org</v>
      </c>
      <c r="M105" s="3" t="s">
        <v>217</v>
      </c>
      <c r="N105" t="s">
        <v>347</v>
      </c>
    </row>
  </sheetData>
  <hyperlinks>
    <hyperlink ref="L11" r:id="rId1" xr:uid="{A9107CC2-9926-4F56-B911-B6696D8AFBC3}"/>
    <hyperlink ref="L20" r:id="rId2" xr:uid="{5BC8A467-CB0B-4EDC-AFE9-9855EA98A900}"/>
    <hyperlink ref="L47" r:id="rId3" xr:uid="{BAEDD2D4-CBC1-495F-BD89-1070EA63D915}"/>
    <hyperlink ref="L52" r:id="rId4" xr:uid="{0B335E68-74EF-4E1C-933C-5D19ACBEE9C4}"/>
    <hyperlink ref="L66" r:id="rId5" xr:uid="{E2570CCE-C112-48DD-8DDA-53F217E7E8F6}"/>
    <hyperlink ref="L84" r:id="rId6" xr:uid="{192C2A3C-C936-4FD8-82B7-C12CF4EAF3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Cole</dc:creator>
  <cp:lastModifiedBy>Eric Bowers</cp:lastModifiedBy>
  <dcterms:created xsi:type="dcterms:W3CDTF">2026-01-20T17:47:03Z</dcterms:created>
  <dcterms:modified xsi:type="dcterms:W3CDTF">2026-01-30T03:36:15Z</dcterms:modified>
</cp:coreProperties>
</file>